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s" sheetId="1" state="visible" r:id="rId3"/>
    <sheet name="Compliance Summary" sheetId="2" state="visible" r:id="rId4"/>
    <sheet name="Bundle Data" sheetId="3" state="visible" r:id="rId5"/>
    <sheet name="By Unit" sheetId="4" state="visible" r:id="rId6"/>
    <sheet name="Documentation Ga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<sst xmlns="http://schemas.openxmlformats.org/spreadsheetml/2006/main" count="1065" uniqueCount="58">
  <si>
    <t xml:space="preserve">SEP-1 sepsis bundle results</t>
  </si>
  <si>
    <t xml:space="preserve">Tables and charts are linked to the Compliance Summary tab and update automatically.</t>
  </si>
  <si>
    <t xml:space="preserve">Compliance by bundle element</t>
  </si>
  <si>
    <t xml:space="preserve">Bundle element</t>
  </si>
  <si>
    <t xml:space="preserve">Cases</t>
  </si>
  <si>
    <t xml:space="preserve">On time</t>
  </si>
  <si>
    <t xml:space="preserve">Compliance %</t>
  </si>
  <si>
    <t xml:space="preserve">Overall (every element on time)</t>
  </si>
  <si>
    <t xml:space="preserve">Why bundle elements failed</t>
  </si>
  <si>
    <t xml:space="preserve">Late</t>
  </si>
  <si>
    <t xml:space="preserve">Missed</t>
  </si>
  <si>
    <t xml:space="preserve">After antibiotics</t>
  </si>
  <si>
    <t xml:space="preserve">SEP-1 bundle compliance by element</t>
  </si>
  <si>
    <t xml:space="preserve">Every number here is a formula that counts rows on the Bundle Data tab.</t>
  </si>
  <si>
    <t xml:space="preserve">Cases it applied to</t>
  </si>
  <si>
    <t xml:space="preserve">Initial lactate (3 hr)</t>
  </si>
  <si>
    <t xml:space="preserve">Cultures before antibiotics</t>
  </si>
  <si>
    <t xml:space="preserve">Antibiotics (3 hr)</t>
  </si>
  <si>
    <t xml:space="preserve">Fluids 30 mL/kg (3 hr)</t>
  </si>
  <si>
    <t xml:space="preserve">Repeat lactate (6 hr)</t>
  </si>
  <si>
    <t xml:space="preserve">Severe sepsis encounters: result for each SEP-1 bundle element</t>
  </si>
  <si>
    <t xml:space="preserve">Synthetic data from generate_sepsis_data.py. N/A = element did not apply to this patient.</t>
  </si>
  <si>
    <t xml:space="preserve">Encounter</t>
  </si>
  <si>
    <t xml:space="preserve">Unit</t>
  </si>
  <si>
    <t xml:space="preserve">All on time?</t>
  </si>
  <si>
    <t xml:space="preserve">Med/Surg A</t>
  </si>
  <si>
    <t xml:space="preserve">N/A</t>
  </si>
  <si>
    <t xml:space="preserve">Telemetry</t>
  </si>
  <si>
    <t xml:space="preserve">Step-Down</t>
  </si>
  <si>
    <t xml:space="preserve">Med/Surg B</t>
  </si>
  <si>
    <t xml:space="preserve">Overall bundle compliance by unit</t>
  </si>
  <si>
    <t xml:space="preserve">Units were assigned at random in the synthetic data, so differences reflect small-sample variation.</t>
  </si>
  <si>
    <t xml:space="preserve">Severe sepsis cases</t>
  </si>
  <si>
    <t xml:space="preserve">All elements on time</t>
  </si>
  <si>
    <t xml:space="preserve">Sepsis documentation gaps</t>
  </si>
  <si>
    <t xml:space="preserve">Flagged encounters are for CDI review, not automatic code changes.</t>
  </si>
  <si>
    <t xml:space="preserve">Review type</t>
  </si>
  <si>
    <t xml:space="preserve">Gap</t>
  </si>
  <si>
    <t xml:space="preserve">Encounters</t>
  </si>
  <si>
    <t xml:space="preserve">Query opportunity</t>
  </si>
  <si>
    <t xml:space="preserve">Severe sepsis criteria met, coded as sepsis only</t>
  </si>
  <si>
    <t xml:space="preserve">Severe sepsis criteria met, no sepsis code</t>
  </si>
  <si>
    <t xml:space="preserve">Sepsis criteria met, no sepsis code</t>
  </si>
  <si>
    <t xml:space="preserve">Clinical validation</t>
  </si>
  <si>
    <t xml:space="preserve">Severe sepsis coded, criteria not met</t>
  </si>
  <si>
    <t xml:space="preserve">Sepsis coded, criteria not met</t>
  </si>
  <si>
    <t xml:space="preserve">Total flagged</t>
  </si>
  <si>
    <t xml:space="preserve">Flagged encounters</t>
  </si>
  <si>
    <t xml:space="preserve">Codes on chart</t>
  </si>
  <si>
    <t xml:space="preserve">N39.0, A41.9, R65.20</t>
  </si>
  <si>
    <t xml:space="preserve">J18.9, A41.9</t>
  </si>
  <si>
    <t xml:space="preserve">J18.9</t>
  </si>
  <si>
    <t xml:space="preserve">A41.9</t>
  </si>
  <si>
    <t xml:space="preserve">N39.0, A41.9</t>
  </si>
  <si>
    <t xml:space="preserve">L03.90</t>
  </si>
  <si>
    <t xml:space="preserve">L03.90, A41.9</t>
  </si>
  <si>
    <t xml:space="preserve">N39.0</t>
  </si>
  <si>
    <t xml:space="preserve">J18.9, A41.9, R65.20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</si>
</sst>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6B1BE"/>
      <rgbColor rgb="FF1F3A5F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SEP-1 bundle compliance by element (% on time)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Charts!D5</c:f>
              <c:strCache>
                <c:ptCount val="1"/>
                <c:pt idx="0">
                  <c:v>Compliance %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Initial lactate (3 hr)</c:v>
                </c:pt>
                <c:pt idx="1">
                  <c:v>Cultures before antibiotics</c:v>
                </c:pt>
                <c:pt idx="2">
                  <c:v>Antibiotics (3 hr)</c:v>
                </c:pt>
                <c:pt idx="3">
                  <c:v>Fluids 30 mL/kg (3 hr)</c:v>
                </c:pt>
                <c:pt idx="4">
                  <c:v>Repeat lactate (6 hr)</c:v>
                </c:pt>
              </c:strCache>
            </c:strRef>
          </c:cat>
          <c:val>
            <c:numRef>
              <c:f>Charts!$D$6:$D$10</c:f>
              <c:numCache>
                <c:formatCode>0%</c:formatCode>
                <c:ptCount val="5"/>
                <c:pt idx="0">
                  <c:v>0.91970802919708</c:v>
                </c:pt>
                <c:pt idx="1">
                  <c:v>0.934306569343066</c:v>
                </c:pt>
                <c:pt idx="2">
                  <c:v>0.817518248175183</c:v>
                </c:pt>
                <c:pt idx="3">
                  <c:v>0.851351351351351</c:v>
                </c:pt>
                <c:pt idx="4">
                  <c:v>0.721518987341772</c:v>
                </c:pt>
              </c:numCache>
            </c:numRef>
          </c:val>
        </c:ser>
        <c:gapWidth val="150"/>
        <c:overlap val="0"/>
        <c:axId val="32828629"/>
        <c:axId val="88605076"/>
      </c:barChart>
      <c:catAx>
        <c:axId val="328286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05076"/>
        <c:crosses val="autoZero"/>
        <c:auto val="1"/>
        <c:lblAlgn val="ctr"/>
        <c:lblOffset val="100"/>
        <c:noMultiLvlLbl val="0"/>
      </c:catAx>
      <c:valAx>
        <c:axId val="88605076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286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Why bundle elements failed (number of cases)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Charts!B32</c:f>
              <c:strCache>
                <c:ptCount val="1"/>
                <c:pt idx="0">
                  <c:v>Late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Charts!$A$33:$A$37</c:f>
              <c:strCache>
                <c:ptCount val="5"/>
                <c:pt idx="0">
                  <c:v>Initial lactate (3 hr)</c:v>
                </c:pt>
                <c:pt idx="1">
                  <c:v>Cultures before antibiotics</c:v>
                </c:pt>
                <c:pt idx="2">
                  <c:v>Antibiotics (3 hr)</c:v>
                </c:pt>
                <c:pt idx="3">
                  <c:v>Fluids 30 mL/kg (3 hr)</c:v>
                </c:pt>
                <c:pt idx="4">
                  <c:v>Repeat lactate (6 hr)</c:v>
                </c:pt>
              </c:strCache>
            </c:strRef>
          </c:cat>
          <c:val>
            <c:numRef>
              <c:f>Charts!$B$33:$B$37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23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tx>
            <c:strRef>
              <c:f>Charts!C32</c:f>
              <c:strCache>
                <c:ptCount val="1"/>
                <c:pt idx="0">
                  <c:v>Missed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Charts!$A$33:$A$37</c:f>
              <c:strCache>
                <c:ptCount val="5"/>
                <c:pt idx="0">
                  <c:v>Initial lactate (3 hr)</c:v>
                </c:pt>
                <c:pt idx="1">
                  <c:v>Cultures before antibiotics</c:v>
                </c:pt>
                <c:pt idx="2">
                  <c:v>Antibiotics (3 hr)</c:v>
                </c:pt>
                <c:pt idx="3">
                  <c:v>Fluids 30 mL/kg (3 hr)</c:v>
                </c:pt>
                <c:pt idx="4">
                  <c:v>Repeat lactate (6 hr)</c:v>
                </c:pt>
              </c:strCache>
            </c:strRef>
          </c:cat>
          <c:val>
            <c:numRef>
              <c:f>Charts!$C$33:$C$37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12</c:v>
                </c:pt>
              </c:numCache>
            </c:numRef>
          </c:val>
        </c:ser>
        <c:ser>
          <c:idx val="2"/>
          <c:order val="2"/>
          <c:tx>
            <c:strRef>
              <c:f>Charts!D32</c:f>
              <c:strCache>
                <c:ptCount val="1"/>
                <c:pt idx="0">
                  <c:v>After antibiotics</c:v>
                </c:pt>
              </c:strCache>
            </c:strRef>
          </c:tx>
          <c:spPr>
            <a:solidFill>
              <a:srgbClr val="a6b1b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Charts!$A$33:$A$37</c:f>
              <c:strCache>
                <c:ptCount val="5"/>
                <c:pt idx="0">
                  <c:v>Initial lactate (3 hr)</c:v>
                </c:pt>
                <c:pt idx="1">
                  <c:v>Cultures before antibiotics</c:v>
                </c:pt>
                <c:pt idx="2">
                  <c:v>Antibiotics (3 hr)</c:v>
                </c:pt>
                <c:pt idx="3">
                  <c:v>Fluids 30 mL/kg (3 hr)</c:v>
                </c:pt>
                <c:pt idx="4">
                  <c:v>Repeat lactate (6 hr)</c:v>
                </c:pt>
              </c:strCache>
            </c:strRef>
          </c:cat>
          <c:val>
            <c:numRef>
              <c:f>Charts!$D$33:$D$37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73662703"/>
        <c:axId val="25365875"/>
      </c:barChart>
      <c:catAx>
        <c:axId val="7366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65875"/>
        <c:crosses val="autoZero"/>
        <c:auto val="1"/>
        <c:lblAlgn val="ctr"/>
        <c:lblOffset val="100"/>
        <c:noMultiLvlLbl val="0"/>
      </c:catAx>
      <c:valAx>
        <c:axId val="253658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627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Compliance by bundle element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'Compliance Summary'!G4</c:f>
              <c:strCache>
                <c:ptCount val="1"/>
                <c:pt idx="0">
                  <c:v>Compliance %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'Compliance Summary'!$A$5:$A$9</c:f>
              <c:strCache>
                <c:ptCount val="5"/>
                <c:pt idx="0">
                  <c:v>Initial lactate (3 hr)</c:v>
                </c:pt>
                <c:pt idx="1">
                  <c:v>Cultures before antibiotics</c:v>
                </c:pt>
                <c:pt idx="2">
                  <c:v>Antibiotics (3 hr)</c:v>
                </c:pt>
                <c:pt idx="3">
                  <c:v>Fluids 30 mL/kg (3 hr)</c:v>
                </c:pt>
                <c:pt idx="4">
                  <c:v>Repeat lactate (6 hr)</c:v>
                </c:pt>
              </c:strCache>
            </c:strRef>
          </c:cat>
          <c:val>
            <c:numRef>
              <c:f>'Compliance Summary'!$G$5:$G$9</c:f>
              <c:numCache>
                <c:formatCode>0%</c:formatCode>
                <c:ptCount val="5"/>
                <c:pt idx="0">
                  <c:v>0.91970802919708</c:v>
                </c:pt>
                <c:pt idx="1">
                  <c:v>0.934306569343066</c:v>
                </c:pt>
                <c:pt idx="2">
                  <c:v>0.817518248175183</c:v>
                </c:pt>
                <c:pt idx="3">
                  <c:v>0.851351351351351</c:v>
                </c:pt>
                <c:pt idx="4">
                  <c:v>0.721518987341772</c:v>
                </c:pt>
              </c:numCache>
            </c:numRef>
          </c:val>
        </c:ser>
        <c:gapWidth val="150"/>
        <c:overlap val="0"/>
        <c:axId val="90578677"/>
        <c:axId val="76619954"/>
      </c:barChart>
      <c:catAx>
        <c:axId val="905786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19954"/>
        <c:crosses val="autoZero"/>
        <c:auto val="1"/>
        <c:lblAlgn val="ctr"/>
        <c:lblOffset val="100"/>
        <c:noMultiLvlLbl val="0"/>
      </c:catAx>
      <c:valAx>
        <c:axId val="76619954"/>
        <c:scaling>
          <c:orientation val="minMax"/>
          <c:max val="1"/>
          <c:min val="0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on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786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Why elements failed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'Compliance Summary'!D4</c:f>
              <c:strCache>
                <c:ptCount val="1"/>
                <c:pt idx="0">
                  <c:v>Late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'Compliance Summary'!$A$5:$A$9</c:f>
              <c:strCache>
                <c:ptCount val="5"/>
                <c:pt idx="0">
                  <c:v>Initial lactate (3 hr)</c:v>
                </c:pt>
                <c:pt idx="1">
                  <c:v>Cultures before antibiotics</c:v>
                </c:pt>
                <c:pt idx="2">
                  <c:v>Antibiotics (3 hr)</c:v>
                </c:pt>
                <c:pt idx="3">
                  <c:v>Fluids 30 mL/kg (3 hr)</c:v>
                </c:pt>
                <c:pt idx="4">
                  <c:v>Repeat lactate (6 hr)</c:v>
                </c:pt>
              </c:strCache>
            </c:strRef>
          </c:cat>
          <c:val>
            <c:numRef>
              <c:f>'Compliance Summary'!$D$5:$D$9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23</c:v>
                </c:pt>
                <c:pt idx="3">
                  <c:v>7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tx>
            <c:strRef>
              <c:f>'Compliance Summary'!E4</c:f>
              <c:strCache>
                <c:ptCount val="1"/>
                <c:pt idx="0">
                  <c:v>Missed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'Compliance Summary'!$A$5:$A$9</c:f>
              <c:strCache>
                <c:ptCount val="5"/>
                <c:pt idx="0">
                  <c:v>Initial lactate (3 hr)</c:v>
                </c:pt>
                <c:pt idx="1">
                  <c:v>Cultures before antibiotics</c:v>
                </c:pt>
                <c:pt idx="2">
                  <c:v>Antibiotics (3 hr)</c:v>
                </c:pt>
                <c:pt idx="3">
                  <c:v>Fluids 30 mL/kg (3 hr)</c:v>
                </c:pt>
                <c:pt idx="4">
                  <c:v>Repeat lactate (6 hr)</c:v>
                </c:pt>
              </c:strCache>
            </c:strRef>
          </c:cat>
          <c:val>
            <c:numRef>
              <c:f>'Compliance Summary'!$E$5:$E$9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12</c:v>
                </c:pt>
              </c:numCache>
            </c:numRef>
          </c:val>
        </c:ser>
        <c:ser>
          <c:idx val="2"/>
          <c:order val="2"/>
          <c:tx>
            <c:strRef>
              <c:f>'Compliance Summary'!F4</c:f>
              <c:strCache>
                <c:ptCount val="1"/>
                <c:pt idx="0">
                  <c:v>After antibiotics</c:v>
                </c:pt>
              </c:strCache>
            </c:strRef>
          </c:tx>
          <c:spPr>
            <a:solidFill>
              <a:srgbClr val="a6b1b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'Compliance Summary'!$A$5:$A$9</c:f>
              <c:strCache>
                <c:ptCount val="5"/>
                <c:pt idx="0">
                  <c:v>Initial lactate (3 hr)</c:v>
                </c:pt>
                <c:pt idx="1">
                  <c:v>Cultures before antibiotics</c:v>
                </c:pt>
                <c:pt idx="2">
                  <c:v>Antibiotics (3 hr)</c:v>
                </c:pt>
                <c:pt idx="3">
                  <c:v>Fluids 30 mL/kg (3 hr)</c:v>
                </c:pt>
                <c:pt idx="4">
                  <c:v>Repeat lactate (6 hr)</c:v>
                </c:pt>
              </c:strCache>
            </c:strRef>
          </c:cat>
          <c:val>
            <c:numRef>
              <c:f>'Compliance Summary'!$F$5:$F$9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100"/>
        <c:axId val="35215365"/>
        <c:axId val="4571226"/>
      </c:barChart>
      <c:catAx>
        <c:axId val="352153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1226"/>
        <c:crosses val="autoZero"/>
        <c:auto val="1"/>
        <c:lblAlgn val="ctr"/>
        <c:lblOffset val="100"/>
        <c:noMultiLvlLbl val="0"/>
      </c:catAx>
      <c:valAx>
        <c:axId val="45712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153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Compliance by unit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Unit'!D4</c:f>
              <c:strCache>
                <c:ptCount val="1"/>
                <c:pt idx="0">
                  <c:v>Compliance %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Unit'!$A$5:$A$8</c:f>
              <c:strCache>
                <c:ptCount val="4"/>
                <c:pt idx="0">
                  <c:v>Med/Surg A</c:v>
                </c:pt>
                <c:pt idx="1">
                  <c:v>Med/Surg B</c:v>
                </c:pt>
                <c:pt idx="2">
                  <c:v>Step-Down</c:v>
                </c:pt>
                <c:pt idx="3">
                  <c:v>Telemetry</c:v>
                </c:pt>
              </c:strCache>
            </c:strRef>
          </c:cat>
          <c:val>
            <c:numRef>
              <c:f>'By Unit'!$D$5:$D$8</c:f>
              <c:numCache>
                <c:formatCode>0%</c:formatCode>
                <c:ptCount val="4"/>
                <c:pt idx="0">
                  <c:v>0.566666666666667</c:v>
                </c:pt>
                <c:pt idx="1">
                  <c:v>0.548387096774194</c:v>
                </c:pt>
                <c:pt idx="2">
                  <c:v>0.617021276595745</c:v>
                </c:pt>
                <c:pt idx="3">
                  <c:v>0.551724137931035</c:v>
                </c:pt>
              </c:numCache>
            </c:numRef>
          </c:val>
        </c:ser>
        <c:gapWidth val="150"/>
        <c:overlap val="0"/>
        <c:axId val="2010104"/>
        <c:axId val="94388323"/>
      </c:barChart>
      <c:catAx>
        <c:axId val="2010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88323"/>
        <c:crosses val="autoZero"/>
        <c:auto val="1"/>
        <c:lblAlgn val="ctr"/>
        <c:lblOffset val="100"/>
        <c:noMultiLvlLbl val="0"/>
      </c:catAx>
      <c:valAx>
        <c:axId val="94388323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01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Documentation gaps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'Documentation Gaps'!C4</c:f>
              <c:strCache>
                <c:ptCount val="1"/>
                <c:pt idx="0">
                  <c:v>Encounters</c:v>
                </c:pt>
              </c:strCache>
            </c:strRef>
          </c:tx>
          <c:spPr>
            <a:solidFill>
              <a:srgbClr val="1f3a5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'Documentation Gaps'!$B$5:$B$9</c:f>
              <c:strCache>
                <c:ptCount val="5"/>
                <c:pt idx="0">
                  <c:v>Severe sepsis criteria met, coded as sepsis only</c:v>
                </c:pt>
                <c:pt idx="1">
                  <c:v>Severe sepsis criteria met, no sepsis code</c:v>
                </c:pt>
                <c:pt idx="2">
                  <c:v>Sepsis criteria met, no sepsis code</c:v>
                </c:pt>
                <c:pt idx="3">
                  <c:v>Severe sepsis coded, criteria not met</c:v>
                </c:pt>
                <c:pt idx="4">
                  <c:v>Sepsis coded, criteria not met</c:v>
                </c:pt>
              </c:strCache>
            </c:strRef>
          </c:cat>
          <c:val>
            <c:numRef>
              <c:f>'Documentation Gaps'!$C$5:$C$9</c:f>
              <c:numCache>
                <c:formatCode>General</c:formatCode>
                <c:ptCount val="5"/>
                <c:pt idx="0">
                  <c:v>27</c:v>
                </c:pt>
                <c:pt idx="1">
                  <c:v>11</c:v>
                </c:pt>
                <c:pt idx="2">
                  <c:v>8</c:v>
                </c:pt>
                <c:pt idx="3">
                  <c:v>3</c:v>
                </c:pt>
                <c:pt idx="4">
                  <c:v>9</c:v>
                </c:pt>
              </c:numCache>
            </c:numRef>
          </c:val>
        </c:ser>
        <c:gapWidth val="150"/>
        <c:overlap val="0"/>
        <c:axId val="5666582"/>
        <c:axId val="90716023"/>
      </c:barChart>
      <c:catAx>
        <c:axId val="56665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16023"/>
        <c:crosses val="autoZero"/>
        <c:auto val="1"/>
        <c:lblAlgn val="ctr"/>
        <c:lblOffset val="100"/>
        <c:noMultiLvlLbl val="0"/>
      </c:catAx>
      <c:valAx>
        <c:axId val="90716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65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10080</xdr:rowOff>
    </xdr:from>
    <xdr:to>
      <xdr:col>7</xdr:col>
      <xdr:colOff>149400</xdr:colOff>
      <xdr:row>27</xdr:row>
      <xdr:rowOff>21960</xdr:rowOff>
    </xdr:to>
    <xdr:graphicFrame>
      <xdr:nvGraphicFramePr>
        <xdr:cNvPr id="0" name="Chart 1"/>
        <xdr:cNvGraphicFramePr/>
      </xdr:nvGraphicFramePr>
      <xdr:xfrm>
        <a:off x="0" y="228600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37</xdr:row>
      <xdr:rowOff>50400</xdr:rowOff>
    </xdr:from>
    <xdr:to>
      <xdr:col>7</xdr:col>
      <xdr:colOff>149400</xdr:colOff>
      <xdr:row>53</xdr:row>
      <xdr:rowOff>61920</xdr:rowOff>
    </xdr:to>
    <xdr:graphicFrame>
      <xdr:nvGraphicFramePr>
        <xdr:cNvPr id="1" name="Chart 2"/>
        <xdr:cNvGraphicFramePr/>
      </xdr:nvGraphicFramePr>
      <xdr:xfrm>
        <a:off x="0" y="742968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10080</xdr:rowOff>
    </xdr:from>
    <xdr:to>
      <xdr:col>5</xdr:col>
      <xdr:colOff>755280</xdr:colOff>
      <xdr:row>26</xdr:row>
      <xdr:rowOff>42840</xdr:rowOff>
    </xdr:to>
    <xdr:graphicFrame>
      <xdr:nvGraphicFramePr>
        <xdr:cNvPr id="2" name="Chart 1"/>
        <xdr:cNvGraphicFramePr/>
      </xdr:nvGraphicFramePr>
      <xdr:xfrm>
        <a:off x="0" y="2476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28</xdr:row>
      <xdr:rowOff>10080</xdr:rowOff>
    </xdr:from>
    <xdr:to>
      <xdr:col>5</xdr:col>
      <xdr:colOff>755280</xdr:colOff>
      <xdr:row>42</xdr:row>
      <xdr:rowOff>42840</xdr:rowOff>
    </xdr:to>
    <xdr:graphicFrame>
      <xdr:nvGraphicFramePr>
        <xdr:cNvPr id="3" name="Chart 2"/>
        <xdr:cNvGraphicFramePr/>
      </xdr:nvGraphicFramePr>
      <xdr:xfrm>
        <a:off x="0" y="5524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13</xdr:col>
      <xdr:colOff>147600</xdr:colOff>
      <xdr:row>16</xdr:row>
      <xdr:rowOff>42840</xdr:rowOff>
    </xdr:to>
    <xdr:graphicFrame>
      <xdr:nvGraphicFramePr>
        <xdr:cNvPr id="4" name="Chart 1"/>
        <xdr:cNvGraphicFramePr/>
      </xdr:nvGraphicFramePr>
      <xdr:xfrm>
        <a:off x="462924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364680</xdr:colOff>
      <xdr:row>16</xdr:row>
      <xdr:rowOff>2520</xdr:rowOff>
    </xdr:to>
    <xdr:graphicFrame>
      <xdr:nvGraphicFramePr>
        <xdr:cNvPr id="5" name="Chart 1"/>
        <xdr:cNvGraphicFramePr/>
      </xdr:nvGraphicFramePr>
      <xdr:xfrm>
        <a:off x="10056600" y="3808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tr">
        <f aca="false">'Compliance Summary'!A5</f>
        <v>Initial lactate (3 hr)</v>
      </c>
      <c r="B6" s="5" t="n">
        <f aca="false">'Compliance Summary'!B5</f>
        <v>137</v>
      </c>
      <c r="C6" s="5" t="n">
        <f aca="false">'Compliance Summary'!C5</f>
        <v>126</v>
      </c>
      <c r="D6" s="6" t="n">
        <f aca="false">'Compliance Summary'!G5</f>
        <v>0.91970802919708</v>
      </c>
    </row>
    <row r="7" customFormat="false" ht="15" hidden="false" customHeight="false" outlineLevel="0" collapsed="false">
      <c r="A7" s="5" t="str">
        <f aca="false">'Compliance Summary'!A6</f>
        <v>Cultures before antibiotics</v>
      </c>
      <c r="B7" s="5" t="n">
        <f aca="false">'Compliance Summary'!B6</f>
        <v>137</v>
      </c>
      <c r="C7" s="5" t="n">
        <f aca="false">'Compliance Summary'!C6</f>
        <v>128</v>
      </c>
      <c r="D7" s="6" t="n">
        <f aca="false">'Compliance Summary'!G6</f>
        <v>0.934306569343066</v>
      </c>
    </row>
    <row r="8" customFormat="false" ht="15" hidden="false" customHeight="false" outlineLevel="0" collapsed="false">
      <c r="A8" s="5" t="str">
        <f aca="false">'Compliance Summary'!A7</f>
        <v>Antibiotics (3 hr)</v>
      </c>
      <c r="B8" s="5" t="n">
        <f aca="false">'Compliance Summary'!B7</f>
        <v>137</v>
      </c>
      <c r="C8" s="5" t="n">
        <f aca="false">'Compliance Summary'!C7</f>
        <v>112</v>
      </c>
      <c r="D8" s="6" t="n">
        <f aca="false">'Compliance Summary'!G7</f>
        <v>0.817518248175183</v>
      </c>
    </row>
    <row r="9" customFormat="false" ht="15" hidden="false" customHeight="false" outlineLevel="0" collapsed="false">
      <c r="A9" s="5" t="str">
        <f aca="false">'Compliance Summary'!A8</f>
        <v>Fluids 30 mL/kg (3 hr)</v>
      </c>
      <c r="B9" s="5" t="n">
        <f aca="false">'Compliance Summary'!B8</f>
        <v>74</v>
      </c>
      <c r="C9" s="5" t="n">
        <f aca="false">'Compliance Summary'!C8</f>
        <v>63</v>
      </c>
      <c r="D9" s="6" t="n">
        <f aca="false">'Compliance Summary'!G8</f>
        <v>0.851351351351351</v>
      </c>
    </row>
    <row r="10" customFormat="false" ht="15" hidden="false" customHeight="false" outlineLevel="0" collapsed="false">
      <c r="A10" s="5" t="str">
        <f aca="false">'Compliance Summary'!A9</f>
        <v>Repeat lactate (6 hr)</v>
      </c>
      <c r="B10" s="5" t="n">
        <f aca="false">'Compliance Summary'!B9</f>
        <v>79</v>
      </c>
      <c r="C10" s="5" t="n">
        <f aca="false">'Compliance Summary'!C9</f>
        <v>57</v>
      </c>
      <c r="D10" s="6" t="n">
        <f aca="false">'Compliance Summary'!G9</f>
        <v>0.721518987341772</v>
      </c>
    </row>
    <row r="11" customFormat="false" ht="15" hidden="false" customHeight="false" outlineLevel="0" collapsed="false">
      <c r="A11" s="7" t="s">
        <v>7</v>
      </c>
      <c r="B11" s="7" t="n">
        <f aca="false">'Compliance Summary'!B11</f>
        <v>137</v>
      </c>
      <c r="C11" s="7" t="n">
        <f aca="false">'Compliance Summary'!C11</f>
        <v>79</v>
      </c>
      <c r="D11" s="8" t="n">
        <f aca="false">'Compliance Summary'!G11</f>
        <v>0.576642335766423</v>
      </c>
    </row>
    <row r="31" customFormat="false" ht="15" hidden="false" customHeight="false" outlineLevel="0" collapsed="false">
      <c r="A31" s="3" t="s">
        <v>8</v>
      </c>
    </row>
    <row r="32" customFormat="false" ht="26.85" hidden="false" customHeight="false" outlineLevel="0" collapsed="false">
      <c r="A32" s="4" t="s">
        <v>3</v>
      </c>
      <c r="B32" s="4" t="s">
        <v>9</v>
      </c>
      <c r="C32" s="4" t="s">
        <v>10</v>
      </c>
      <c r="D32" s="4" t="s">
        <v>11</v>
      </c>
    </row>
    <row r="33" customFormat="false" ht="15" hidden="false" customHeight="false" outlineLevel="0" collapsed="false">
      <c r="A33" s="5" t="str">
        <f aca="false">'Compliance Summary'!A5</f>
        <v>Initial lactate (3 hr)</v>
      </c>
      <c r="B33" s="5" t="n">
        <f aca="false">'Compliance Summary'!D5</f>
        <v>10</v>
      </c>
      <c r="C33" s="5" t="n">
        <f aca="false">'Compliance Summary'!E5</f>
        <v>1</v>
      </c>
      <c r="D33" s="5" t="n">
        <f aca="false">'Compliance Summary'!F5</f>
        <v>0</v>
      </c>
    </row>
    <row r="34" customFormat="false" ht="15" hidden="false" customHeight="false" outlineLevel="0" collapsed="false">
      <c r="A34" s="5" t="str">
        <f aca="false">'Compliance Summary'!A6</f>
        <v>Cultures before antibiotics</v>
      </c>
      <c r="B34" s="5" t="n">
        <f aca="false">'Compliance Summary'!D6</f>
        <v>0</v>
      </c>
      <c r="C34" s="5" t="n">
        <f aca="false">'Compliance Summary'!E6</f>
        <v>4</v>
      </c>
      <c r="D34" s="5" t="n">
        <f aca="false">'Compliance Summary'!F6</f>
        <v>5</v>
      </c>
    </row>
    <row r="35" customFormat="false" ht="15" hidden="false" customHeight="false" outlineLevel="0" collapsed="false">
      <c r="A35" s="5" t="str">
        <f aca="false">'Compliance Summary'!A7</f>
        <v>Antibiotics (3 hr)</v>
      </c>
      <c r="B35" s="5" t="n">
        <f aca="false">'Compliance Summary'!D7</f>
        <v>23</v>
      </c>
      <c r="C35" s="5" t="n">
        <f aca="false">'Compliance Summary'!E7</f>
        <v>2</v>
      </c>
      <c r="D35" s="5" t="n">
        <f aca="false">'Compliance Summary'!F7</f>
        <v>0</v>
      </c>
    </row>
    <row r="36" customFormat="false" ht="15" hidden="false" customHeight="false" outlineLevel="0" collapsed="false">
      <c r="A36" s="5" t="str">
        <f aca="false">'Compliance Summary'!A8</f>
        <v>Fluids 30 mL/kg (3 hr)</v>
      </c>
      <c r="B36" s="5" t="n">
        <f aca="false">'Compliance Summary'!D8</f>
        <v>7</v>
      </c>
      <c r="C36" s="5" t="n">
        <f aca="false">'Compliance Summary'!E8</f>
        <v>4</v>
      </c>
      <c r="D36" s="5" t="n">
        <f aca="false">'Compliance Summary'!F8</f>
        <v>0</v>
      </c>
    </row>
    <row r="37" customFormat="false" ht="15" hidden="false" customHeight="false" outlineLevel="0" collapsed="false">
      <c r="A37" s="5" t="str">
        <f aca="false">'Compliance Summary'!A9</f>
        <v>Repeat lactate (6 hr)</v>
      </c>
      <c r="B37" s="5" t="n">
        <f aca="false">'Compliance Summary'!D9</f>
        <v>10</v>
      </c>
      <c r="C37" s="5" t="n">
        <f aca="false">'Compliance Summary'!E9</f>
        <v>12</v>
      </c>
      <c r="D37" s="5" t="n">
        <f aca="false">'Compliance Summary'!F9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</row>
    <row r="4" customFormat="false" ht="26.85" hidden="false" customHeight="false" outlineLevel="0" collapsed="false">
      <c r="A4" s="4" t="s">
        <v>3</v>
      </c>
      <c r="B4" s="4" t="s">
        <v>14</v>
      </c>
      <c r="C4" s="4" t="s">
        <v>5</v>
      </c>
      <c r="D4" s="4" t="s">
        <v>9</v>
      </c>
      <c r="E4" s="4" t="s">
        <v>10</v>
      </c>
      <c r="F4" s="4" t="s">
        <v>11</v>
      </c>
      <c r="G4" s="4" t="s">
        <v>6</v>
      </c>
    </row>
    <row r="5" customFormat="false" ht="15" hidden="false" customHeight="false" outlineLevel="0" collapsed="false">
      <c r="A5" s="5" t="s">
        <v>15</v>
      </c>
      <c r="B5" s="5" t="n">
        <f aca="false">COUNTA('Bundle Data'!$C$5:$C$141)-COUNTIF('Bundle Data'!$C$5:$C$141,"N/A")</f>
        <v>137</v>
      </c>
      <c r="C5" s="5" t="n">
        <f aca="false">COUNTIF('Bundle Data'!$C$5:$C$141,"On time")</f>
        <v>126</v>
      </c>
      <c r="D5" s="5" t="n">
        <f aca="false">COUNTIF('Bundle Data'!$C$5:$C$141,"Late")</f>
        <v>10</v>
      </c>
      <c r="E5" s="5" t="n">
        <f aca="false">COUNTIF('Bundle Data'!$C$5:$C$141,"Missed")</f>
        <v>1</v>
      </c>
      <c r="F5" s="5" t="n">
        <f aca="false">COUNTIF('Bundle Data'!$C$5:$C$141,"After antibiotics")</f>
        <v>0</v>
      </c>
      <c r="G5" s="6" t="n">
        <f aca="false">IFERROR(C5/B5,0)</f>
        <v>0.91970802919708</v>
      </c>
    </row>
    <row r="6" customFormat="false" ht="15" hidden="false" customHeight="false" outlineLevel="0" collapsed="false">
      <c r="A6" s="5" t="s">
        <v>16</v>
      </c>
      <c r="B6" s="5" t="n">
        <f aca="false">COUNTA('Bundle Data'!$D$5:$D$141)-COUNTIF('Bundle Data'!$D$5:$D$141,"N/A")</f>
        <v>137</v>
      </c>
      <c r="C6" s="5" t="n">
        <f aca="false">COUNTIF('Bundle Data'!$D$5:$D$141,"On time")</f>
        <v>128</v>
      </c>
      <c r="D6" s="5" t="n">
        <f aca="false">COUNTIF('Bundle Data'!$D$5:$D$141,"Late")</f>
        <v>0</v>
      </c>
      <c r="E6" s="5" t="n">
        <f aca="false">COUNTIF('Bundle Data'!$D$5:$D$141,"Missed")</f>
        <v>4</v>
      </c>
      <c r="F6" s="5" t="n">
        <f aca="false">COUNTIF('Bundle Data'!$D$5:$D$141,"After antibiotics")</f>
        <v>5</v>
      </c>
      <c r="G6" s="6" t="n">
        <f aca="false">IFERROR(C6/B6,0)</f>
        <v>0.934306569343066</v>
      </c>
    </row>
    <row r="7" customFormat="false" ht="15" hidden="false" customHeight="false" outlineLevel="0" collapsed="false">
      <c r="A7" s="5" t="s">
        <v>17</v>
      </c>
      <c r="B7" s="5" t="n">
        <f aca="false">COUNTA('Bundle Data'!$E$5:$E$141)-COUNTIF('Bundle Data'!$E$5:$E$141,"N/A")</f>
        <v>137</v>
      </c>
      <c r="C7" s="5" t="n">
        <f aca="false">COUNTIF('Bundle Data'!$E$5:$E$141,"On time")</f>
        <v>112</v>
      </c>
      <c r="D7" s="5" t="n">
        <f aca="false">COUNTIF('Bundle Data'!$E$5:$E$141,"Late")</f>
        <v>23</v>
      </c>
      <c r="E7" s="5" t="n">
        <f aca="false">COUNTIF('Bundle Data'!$E$5:$E$141,"Missed")</f>
        <v>2</v>
      </c>
      <c r="F7" s="5" t="n">
        <f aca="false">COUNTIF('Bundle Data'!$E$5:$E$141,"After antibiotics")</f>
        <v>0</v>
      </c>
      <c r="G7" s="6" t="n">
        <f aca="false">IFERROR(C7/B7,0)</f>
        <v>0.817518248175183</v>
      </c>
    </row>
    <row r="8" customFormat="false" ht="15" hidden="false" customHeight="false" outlineLevel="0" collapsed="false">
      <c r="A8" s="5" t="s">
        <v>18</v>
      </c>
      <c r="B8" s="5" t="n">
        <f aca="false">COUNTA('Bundle Data'!$F$5:$F$141)-COUNTIF('Bundle Data'!$F$5:$F$141,"N/A")</f>
        <v>74</v>
      </c>
      <c r="C8" s="5" t="n">
        <f aca="false">COUNTIF('Bundle Data'!$F$5:$F$141,"On time")</f>
        <v>63</v>
      </c>
      <c r="D8" s="5" t="n">
        <f aca="false">COUNTIF('Bundle Data'!$F$5:$F$141,"Late")</f>
        <v>7</v>
      </c>
      <c r="E8" s="5" t="n">
        <f aca="false">COUNTIF('Bundle Data'!$F$5:$F$141,"Missed")</f>
        <v>4</v>
      </c>
      <c r="F8" s="5" t="n">
        <f aca="false">COUNTIF('Bundle Data'!$F$5:$F$141,"After antibiotics")</f>
        <v>0</v>
      </c>
      <c r="G8" s="6" t="n">
        <f aca="false">IFERROR(C8/B8,0)</f>
        <v>0.851351351351351</v>
      </c>
    </row>
    <row r="9" customFormat="false" ht="15" hidden="false" customHeight="false" outlineLevel="0" collapsed="false">
      <c r="A9" s="5" t="s">
        <v>19</v>
      </c>
      <c r="B9" s="5" t="n">
        <f aca="false">COUNTA('Bundle Data'!$G$5:$G$141)-COUNTIF('Bundle Data'!$G$5:$G$141,"N/A")</f>
        <v>79</v>
      </c>
      <c r="C9" s="5" t="n">
        <f aca="false">COUNTIF('Bundle Data'!$G$5:$G$141,"On time")</f>
        <v>57</v>
      </c>
      <c r="D9" s="5" t="n">
        <f aca="false">COUNTIF('Bundle Data'!$G$5:$G$141,"Late")</f>
        <v>10</v>
      </c>
      <c r="E9" s="5" t="n">
        <f aca="false">COUNTIF('Bundle Data'!$G$5:$G$141,"Missed")</f>
        <v>12</v>
      </c>
      <c r="F9" s="5" t="n">
        <f aca="false">COUNTIF('Bundle Data'!$G$5:$G$141,"After antibiotics")</f>
        <v>0</v>
      </c>
      <c r="G9" s="6" t="n">
        <f aca="false">IFERROR(C9/B9,0)</f>
        <v>0.721518987341772</v>
      </c>
    </row>
    <row r="11" customFormat="false" ht="15" hidden="false" customHeight="false" outlineLevel="0" collapsed="false">
      <c r="A11" s="7" t="s">
        <v>7</v>
      </c>
      <c r="B11" s="7" t="n">
        <f aca="false">COUNTA('Bundle Data'!$H$5:$H$141)</f>
        <v>137</v>
      </c>
      <c r="C11" s="7" t="n">
        <f aca="false">COUNTIF('Bundle Data'!$H$5:$H$141,"Yes")</f>
        <v>79</v>
      </c>
      <c r="G11" s="8" t="n">
        <f aca="false">IFERROR(C11/B11,0)</f>
        <v>0.576642335766423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3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26.85" hidden="false" customHeight="false" outlineLevel="0" collapsed="false">
      <c r="A4" s="4" t="s">
        <v>22</v>
      </c>
      <c r="B4" s="4" t="s">
        <v>23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24</v>
      </c>
    </row>
    <row r="5" customFormat="false" ht="15" hidden="false" customHeight="false" outlineLevel="0" collapsed="false">
      <c r="A5" s="5" t="n">
        <v>1002</v>
      </c>
      <c r="B5" s="5" t="s">
        <v>25</v>
      </c>
      <c r="C5" s="5" t="s">
        <v>5</v>
      </c>
      <c r="D5" s="5" t="s">
        <v>5</v>
      </c>
      <c r="E5" s="5" t="s">
        <v>5</v>
      </c>
      <c r="F5" s="5" t="s">
        <v>5</v>
      </c>
      <c r="G5" s="5" t="s">
        <v>26</v>
      </c>
      <c r="H5" s="5" t="str">
        <f aca="false">IF(COUNTIF(C5:G5,"On time")+COUNTIF(C5:G5,"N/A")=5,"Yes","No")</f>
        <v>Yes</v>
      </c>
    </row>
    <row r="6" customFormat="false" ht="15" hidden="false" customHeight="false" outlineLevel="0" collapsed="false">
      <c r="A6" s="5" t="n">
        <v>1004</v>
      </c>
      <c r="B6" s="5" t="s">
        <v>27</v>
      </c>
      <c r="C6" s="5" t="s">
        <v>5</v>
      </c>
      <c r="D6" s="5" t="s">
        <v>5</v>
      </c>
      <c r="E6" s="5" t="s">
        <v>9</v>
      </c>
      <c r="F6" s="5" t="s">
        <v>26</v>
      </c>
      <c r="G6" s="5" t="s">
        <v>10</v>
      </c>
      <c r="H6" s="5" t="str">
        <f aca="false">IF(COUNTIF(C6:G6,"On time")+COUNTIF(C6:G6,"N/A")=5,"Yes","No")</f>
        <v>No</v>
      </c>
    </row>
    <row r="7" customFormat="false" ht="15" hidden="false" customHeight="false" outlineLevel="0" collapsed="false">
      <c r="A7" s="5" t="n">
        <v>1006</v>
      </c>
      <c r="B7" s="5" t="s">
        <v>25</v>
      </c>
      <c r="C7" s="5" t="s">
        <v>5</v>
      </c>
      <c r="D7" s="5" t="s">
        <v>5</v>
      </c>
      <c r="E7" s="5" t="s">
        <v>5</v>
      </c>
      <c r="F7" s="5" t="s">
        <v>5</v>
      </c>
      <c r="G7" s="5" t="s">
        <v>5</v>
      </c>
      <c r="H7" s="5" t="str">
        <f aca="false">IF(COUNTIF(C7:G7,"On time")+COUNTIF(C7:G7,"N/A")=5,"Yes","No")</f>
        <v>Yes</v>
      </c>
    </row>
    <row r="8" customFormat="false" ht="15" hidden="false" customHeight="false" outlineLevel="0" collapsed="false">
      <c r="A8" s="5" t="n">
        <v>1008</v>
      </c>
      <c r="B8" s="5" t="s">
        <v>28</v>
      </c>
      <c r="C8" s="5" t="s">
        <v>5</v>
      </c>
      <c r="D8" s="5" t="s">
        <v>5</v>
      </c>
      <c r="E8" s="5" t="s">
        <v>5</v>
      </c>
      <c r="F8" s="5" t="s">
        <v>26</v>
      </c>
      <c r="G8" s="5" t="s">
        <v>26</v>
      </c>
      <c r="H8" s="5" t="str">
        <f aca="false">IF(COUNTIF(C8:G8,"On time")+COUNTIF(C8:G8,"N/A")=5,"Yes","No")</f>
        <v>Yes</v>
      </c>
    </row>
    <row r="9" customFormat="false" ht="15" hidden="false" customHeight="false" outlineLevel="0" collapsed="false">
      <c r="A9" s="5" t="n">
        <v>1009</v>
      </c>
      <c r="B9" s="5" t="s">
        <v>28</v>
      </c>
      <c r="C9" s="5" t="s">
        <v>10</v>
      </c>
      <c r="D9" s="5" t="s">
        <v>5</v>
      </c>
      <c r="E9" s="5" t="s">
        <v>5</v>
      </c>
      <c r="F9" s="5" t="s">
        <v>5</v>
      </c>
      <c r="G9" s="5" t="s">
        <v>5</v>
      </c>
      <c r="H9" s="5" t="str">
        <f aca="false">IF(COUNTIF(C9:G9,"On time")+COUNTIF(C9:G9,"N/A")=5,"Yes","No")</f>
        <v>No</v>
      </c>
    </row>
    <row r="10" customFormat="false" ht="15" hidden="false" customHeight="false" outlineLevel="0" collapsed="false">
      <c r="A10" s="5" t="n">
        <v>1013</v>
      </c>
      <c r="B10" s="5" t="s">
        <v>25</v>
      </c>
      <c r="C10" s="5" t="s">
        <v>5</v>
      </c>
      <c r="D10" s="5" t="s">
        <v>5</v>
      </c>
      <c r="E10" s="5" t="s">
        <v>9</v>
      </c>
      <c r="F10" s="5" t="s">
        <v>5</v>
      </c>
      <c r="G10" s="5" t="s">
        <v>5</v>
      </c>
      <c r="H10" s="5" t="str">
        <f aca="false">IF(COUNTIF(C10:G10,"On time")+COUNTIF(C10:G10,"N/A")=5,"Yes","No")</f>
        <v>No</v>
      </c>
    </row>
    <row r="11" customFormat="false" ht="15" hidden="false" customHeight="false" outlineLevel="0" collapsed="false">
      <c r="A11" s="5" t="n">
        <v>1015</v>
      </c>
      <c r="B11" s="5" t="s">
        <v>27</v>
      </c>
      <c r="C11" s="5" t="s">
        <v>5</v>
      </c>
      <c r="D11" s="5" t="s">
        <v>5</v>
      </c>
      <c r="E11" s="5" t="s">
        <v>5</v>
      </c>
      <c r="F11" s="5" t="s">
        <v>26</v>
      </c>
      <c r="G11" s="5" t="s">
        <v>5</v>
      </c>
      <c r="H11" s="5" t="str">
        <f aca="false">IF(COUNTIF(C11:G11,"On time")+COUNTIF(C11:G11,"N/A")=5,"Yes","No")</f>
        <v>Yes</v>
      </c>
    </row>
    <row r="12" customFormat="false" ht="15" hidden="false" customHeight="false" outlineLevel="0" collapsed="false">
      <c r="A12" s="5" t="n">
        <v>1017</v>
      </c>
      <c r="B12" s="5" t="s">
        <v>27</v>
      </c>
      <c r="C12" s="5" t="s">
        <v>5</v>
      </c>
      <c r="D12" s="5" t="s">
        <v>5</v>
      </c>
      <c r="E12" s="5" t="s">
        <v>5</v>
      </c>
      <c r="F12" s="5" t="s">
        <v>26</v>
      </c>
      <c r="G12" s="5" t="s">
        <v>26</v>
      </c>
      <c r="H12" s="5" t="str">
        <f aca="false">IF(COUNTIF(C12:G12,"On time")+COUNTIF(C12:G12,"N/A")=5,"Yes","No")</f>
        <v>Yes</v>
      </c>
    </row>
    <row r="13" customFormat="false" ht="15" hidden="false" customHeight="false" outlineLevel="0" collapsed="false">
      <c r="A13" s="5" t="n">
        <v>1020</v>
      </c>
      <c r="B13" s="5" t="s">
        <v>27</v>
      </c>
      <c r="C13" s="5" t="s">
        <v>5</v>
      </c>
      <c r="D13" s="5" t="s">
        <v>10</v>
      </c>
      <c r="E13" s="5" t="s">
        <v>9</v>
      </c>
      <c r="F13" s="5" t="s">
        <v>5</v>
      </c>
      <c r="G13" s="5" t="s">
        <v>26</v>
      </c>
      <c r="H13" s="5" t="str">
        <f aca="false">IF(COUNTIF(C13:G13,"On time")+COUNTIF(C13:G13,"N/A")=5,"Yes","No")</f>
        <v>No</v>
      </c>
    </row>
    <row r="14" customFormat="false" ht="15" hidden="false" customHeight="false" outlineLevel="0" collapsed="false">
      <c r="A14" s="5" t="n">
        <v>1027</v>
      </c>
      <c r="B14" s="5" t="s">
        <v>28</v>
      </c>
      <c r="C14" s="5" t="s">
        <v>5</v>
      </c>
      <c r="D14" s="5" t="s">
        <v>5</v>
      </c>
      <c r="E14" s="5" t="s">
        <v>5</v>
      </c>
      <c r="F14" s="5" t="s">
        <v>26</v>
      </c>
      <c r="G14" s="5" t="s">
        <v>26</v>
      </c>
      <c r="H14" s="5" t="str">
        <f aca="false">IF(COUNTIF(C14:G14,"On time")+COUNTIF(C14:G14,"N/A")=5,"Yes","No")</f>
        <v>Yes</v>
      </c>
    </row>
    <row r="15" customFormat="false" ht="15" hidden="false" customHeight="false" outlineLevel="0" collapsed="false">
      <c r="A15" s="5" t="n">
        <v>1028</v>
      </c>
      <c r="B15" s="5" t="s">
        <v>28</v>
      </c>
      <c r="C15" s="5" t="s">
        <v>5</v>
      </c>
      <c r="D15" s="5" t="s">
        <v>5</v>
      </c>
      <c r="E15" s="5" t="s">
        <v>5</v>
      </c>
      <c r="F15" s="5" t="s">
        <v>26</v>
      </c>
      <c r="G15" s="5" t="s">
        <v>26</v>
      </c>
      <c r="H15" s="5" t="str">
        <f aca="false">IF(COUNTIF(C15:G15,"On time")+COUNTIF(C15:G15,"N/A")=5,"Yes","No")</f>
        <v>Yes</v>
      </c>
    </row>
    <row r="16" customFormat="false" ht="15" hidden="false" customHeight="false" outlineLevel="0" collapsed="false">
      <c r="A16" s="5" t="n">
        <v>1031</v>
      </c>
      <c r="B16" s="5" t="s">
        <v>28</v>
      </c>
      <c r="C16" s="5" t="s">
        <v>5</v>
      </c>
      <c r="D16" s="5" t="s">
        <v>5</v>
      </c>
      <c r="E16" s="5" t="s">
        <v>5</v>
      </c>
      <c r="F16" s="5" t="s">
        <v>5</v>
      </c>
      <c r="G16" s="5" t="s">
        <v>26</v>
      </c>
      <c r="H16" s="5" t="str">
        <f aca="false">IF(COUNTIF(C16:G16,"On time")+COUNTIF(C16:G16,"N/A")=5,"Yes","No")</f>
        <v>Yes</v>
      </c>
    </row>
    <row r="17" customFormat="false" ht="15" hidden="false" customHeight="false" outlineLevel="0" collapsed="false">
      <c r="A17" s="5" t="n">
        <v>1033</v>
      </c>
      <c r="B17" s="5" t="s">
        <v>25</v>
      </c>
      <c r="C17" s="5" t="s">
        <v>9</v>
      </c>
      <c r="D17" s="5" t="s">
        <v>5</v>
      </c>
      <c r="E17" s="5" t="s">
        <v>5</v>
      </c>
      <c r="F17" s="5" t="s">
        <v>26</v>
      </c>
      <c r="G17" s="5" t="s">
        <v>26</v>
      </c>
      <c r="H17" s="5" t="str">
        <f aca="false">IF(COUNTIF(C17:G17,"On time")+COUNTIF(C17:G17,"N/A")=5,"Yes","No")</f>
        <v>No</v>
      </c>
    </row>
    <row r="18" customFormat="false" ht="15" hidden="false" customHeight="false" outlineLevel="0" collapsed="false">
      <c r="A18" s="5" t="n">
        <v>1035</v>
      </c>
      <c r="B18" s="5" t="s">
        <v>29</v>
      </c>
      <c r="C18" s="5" t="s">
        <v>5</v>
      </c>
      <c r="D18" s="5" t="s">
        <v>5</v>
      </c>
      <c r="E18" s="5" t="s">
        <v>5</v>
      </c>
      <c r="F18" s="5" t="s">
        <v>26</v>
      </c>
      <c r="G18" s="5" t="s">
        <v>5</v>
      </c>
      <c r="H18" s="5" t="str">
        <f aca="false">IF(COUNTIF(C18:G18,"On time")+COUNTIF(C18:G18,"N/A")=5,"Yes","No")</f>
        <v>Yes</v>
      </c>
    </row>
    <row r="19" customFormat="false" ht="15" hidden="false" customHeight="false" outlineLevel="0" collapsed="false">
      <c r="A19" s="5" t="n">
        <v>1036</v>
      </c>
      <c r="B19" s="5" t="s">
        <v>28</v>
      </c>
      <c r="C19" s="5" t="s">
        <v>5</v>
      </c>
      <c r="D19" s="5" t="s">
        <v>5</v>
      </c>
      <c r="E19" s="5" t="s">
        <v>9</v>
      </c>
      <c r="F19" s="5" t="s">
        <v>5</v>
      </c>
      <c r="G19" s="5" t="s">
        <v>26</v>
      </c>
      <c r="H19" s="5" t="str">
        <f aca="false">IF(COUNTIF(C19:G19,"On time")+COUNTIF(C19:G19,"N/A")=5,"Yes","No")</f>
        <v>No</v>
      </c>
    </row>
    <row r="20" customFormat="false" ht="15" hidden="false" customHeight="false" outlineLevel="0" collapsed="false">
      <c r="A20" s="5" t="n">
        <v>1039</v>
      </c>
      <c r="B20" s="5" t="s">
        <v>29</v>
      </c>
      <c r="C20" s="5" t="s">
        <v>5</v>
      </c>
      <c r="D20" s="5" t="s">
        <v>5</v>
      </c>
      <c r="E20" s="5" t="s">
        <v>5</v>
      </c>
      <c r="F20" s="5" t="s">
        <v>26</v>
      </c>
      <c r="G20" s="5" t="s">
        <v>10</v>
      </c>
      <c r="H20" s="5" t="str">
        <f aca="false">IF(COUNTIF(C20:G20,"On time")+COUNTIF(C20:G20,"N/A")=5,"Yes","No")</f>
        <v>No</v>
      </c>
    </row>
    <row r="21" customFormat="false" ht="15" hidden="false" customHeight="false" outlineLevel="0" collapsed="false">
      <c r="A21" s="5" t="n">
        <v>1040</v>
      </c>
      <c r="B21" s="5" t="s">
        <v>25</v>
      </c>
      <c r="C21" s="5" t="s">
        <v>5</v>
      </c>
      <c r="D21" s="5" t="s">
        <v>5</v>
      </c>
      <c r="E21" s="5" t="s">
        <v>9</v>
      </c>
      <c r="F21" s="5" t="s">
        <v>26</v>
      </c>
      <c r="G21" s="5" t="s">
        <v>26</v>
      </c>
      <c r="H21" s="5" t="str">
        <f aca="false">IF(COUNTIF(C21:G21,"On time")+COUNTIF(C21:G21,"N/A")=5,"Yes","No")</f>
        <v>No</v>
      </c>
    </row>
    <row r="22" customFormat="false" ht="15" hidden="false" customHeight="false" outlineLevel="0" collapsed="false">
      <c r="A22" s="5" t="n">
        <v>1042</v>
      </c>
      <c r="B22" s="5" t="s">
        <v>27</v>
      </c>
      <c r="C22" s="5" t="s">
        <v>5</v>
      </c>
      <c r="D22" s="5" t="s">
        <v>5</v>
      </c>
      <c r="E22" s="5" t="s">
        <v>5</v>
      </c>
      <c r="F22" s="5" t="s">
        <v>5</v>
      </c>
      <c r="G22" s="5" t="s">
        <v>26</v>
      </c>
      <c r="H22" s="5" t="str">
        <f aca="false">IF(COUNTIF(C22:G22,"On time")+COUNTIF(C22:G22,"N/A")=5,"Yes","No")</f>
        <v>Yes</v>
      </c>
    </row>
    <row r="23" customFormat="false" ht="15" hidden="false" customHeight="false" outlineLevel="0" collapsed="false">
      <c r="A23" s="5" t="n">
        <v>1043</v>
      </c>
      <c r="B23" s="5" t="s">
        <v>27</v>
      </c>
      <c r="C23" s="5" t="s">
        <v>5</v>
      </c>
      <c r="D23" s="5" t="s">
        <v>5</v>
      </c>
      <c r="E23" s="5" t="s">
        <v>9</v>
      </c>
      <c r="F23" s="5" t="s">
        <v>5</v>
      </c>
      <c r="G23" s="5" t="s">
        <v>10</v>
      </c>
      <c r="H23" s="5" t="str">
        <f aca="false">IF(COUNTIF(C23:G23,"On time")+COUNTIF(C23:G23,"N/A")=5,"Yes","No")</f>
        <v>No</v>
      </c>
    </row>
    <row r="24" customFormat="false" ht="15" hidden="false" customHeight="false" outlineLevel="0" collapsed="false">
      <c r="A24" s="5" t="n">
        <v>1046</v>
      </c>
      <c r="B24" s="5" t="s">
        <v>27</v>
      </c>
      <c r="C24" s="5" t="s">
        <v>5</v>
      </c>
      <c r="D24" s="5" t="s">
        <v>5</v>
      </c>
      <c r="E24" s="5" t="s">
        <v>5</v>
      </c>
      <c r="F24" s="5" t="s">
        <v>26</v>
      </c>
      <c r="G24" s="5" t="s">
        <v>5</v>
      </c>
      <c r="H24" s="5" t="str">
        <f aca="false">IF(COUNTIF(C24:G24,"On time")+COUNTIF(C24:G24,"N/A")=5,"Yes","No")</f>
        <v>Yes</v>
      </c>
    </row>
    <row r="25" customFormat="false" ht="15" hidden="false" customHeight="false" outlineLevel="0" collapsed="false">
      <c r="A25" s="5" t="n">
        <v>1048</v>
      </c>
      <c r="B25" s="5" t="s">
        <v>29</v>
      </c>
      <c r="C25" s="5" t="s">
        <v>5</v>
      </c>
      <c r="D25" s="5" t="s">
        <v>5</v>
      </c>
      <c r="E25" s="5" t="s">
        <v>5</v>
      </c>
      <c r="F25" s="5" t="s">
        <v>26</v>
      </c>
      <c r="G25" s="5" t="s">
        <v>5</v>
      </c>
      <c r="H25" s="5" t="str">
        <f aca="false">IF(COUNTIF(C25:G25,"On time")+COUNTIF(C25:G25,"N/A")=5,"Yes","No")</f>
        <v>Yes</v>
      </c>
    </row>
    <row r="26" customFormat="false" ht="15" hidden="false" customHeight="false" outlineLevel="0" collapsed="false">
      <c r="A26" s="5" t="n">
        <v>1050</v>
      </c>
      <c r="B26" s="5" t="s">
        <v>29</v>
      </c>
      <c r="C26" s="5" t="s">
        <v>5</v>
      </c>
      <c r="D26" s="5" t="s">
        <v>5</v>
      </c>
      <c r="E26" s="5" t="s">
        <v>9</v>
      </c>
      <c r="F26" s="5" t="s">
        <v>5</v>
      </c>
      <c r="G26" s="5" t="s">
        <v>5</v>
      </c>
      <c r="H26" s="5" t="str">
        <f aca="false">IF(COUNTIF(C26:G26,"On time")+COUNTIF(C26:G26,"N/A")=5,"Yes","No")</f>
        <v>No</v>
      </c>
    </row>
    <row r="27" customFormat="false" ht="15" hidden="false" customHeight="false" outlineLevel="0" collapsed="false">
      <c r="A27" s="5" t="n">
        <v>1051</v>
      </c>
      <c r="B27" s="5" t="s">
        <v>28</v>
      </c>
      <c r="C27" s="5" t="s">
        <v>5</v>
      </c>
      <c r="D27" s="5" t="s">
        <v>5</v>
      </c>
      <c r="E27" s="5" t="s">
        <v>5</v>
      </c>
      <c r="F27" s="5" t="s">
        <v>26</v>
      </c>
      <c r="G27" s="5" t="s">
        <v>5</v>
      </c>
      <c r="H27" s="5" t="str">
        <f aca="false">IF(COUNTIF(C27:G27,"On time")+COUNTIF(C27:G27,"N/A")=5,"Yes","No")</f>
        <v>Yes</v>
      </c>
    </row>
    <row r="28" customFormat="false" ht="15" hidden="false" customHeight="false" outlineLevel="0" collapsed="false">
      <c r="A28" s="5" t="n">
        <v>1054</v>
      </c>
      <c r="B28" s="5" t="s">
        <v>27</v>
      </c>
      <c r="C28" s="5" t="s">
        <v>5</v>
      </c>
      <c r="D28" s="5" t="s">
        <v>5</v>
      </c>
      <c r="E28" s="5" t="s">
        <v>5</v>
      </c>
      <c r="F28" s="5" t="s">
        <v>26</v>
      </c>
      <c r="G28" s="5" t="s">
        <v>5</v>
      </c>
      <c r="H28" s="5" t="str">
        <f aca="false">IF(COUNTIF(C28:G28,"On time")+COUNTIF(C28:G28,"N/A")=5,"Yes","No")</f>
        <v>Yes</v>
      </c>
    </row>
    <row r="29" customFormat="false" ht="15" hidden="false" customHeight="false" outlineLevel="0" collapsed="false">
      <c r="A29" s="5" t="n">
        <v>1055</v>
      </c>
      <c r="B29" s="5" t="s">
        <v>25</v>
      </c>
      <c r="C29" s="5" t="s">
        <v>5</v>
      </c>
      <c r="D29" s="5" t="s">
        <v>5</v>
      </c>
      <c r="E29" s="5" t="s">
        <v>5</v>
      </c>
      <c r="F29" s="5" t="s">
        <v>5</v>
      </c>
      <c r="G29" s="5" t="s">
        <v>26</v>
      </c>
      <c r="H29" s="5" t="str">
        <f aca="false">IF(COUNTIF(C29:G29,"On time")+COUNTIF(C29:G29,"N/A")=5,"Yes","No")</f>
        <v>Yes</v>
      </c>
    </row>
    <row r="30" customFormat="false" ht="15" hidden="false" customHeight="false" outlineLevel="0" collapsed="false">
      <c r="A30" s="5" t="n">
        <v>1056</v>
      </c>
      <c r="B30" s="5" t="s">
        <v>29</v>
      </c>
      <c r="C30" s="5" t="s">
        <v>5</v>
      </c>
      <c r="D30" s="5" t="s">
        <v>5</v>
      </c>
      <c r="E30" s="5" t="s">
        <v>5</v>
      </c>
      <c r="F30" s="5" t="s">
        <v>26</v>
      </c>
      <c r="G30" s="5" t="s">
        <v>26</v>
      </c>
      <c r="H30" s="5" t="str">
        <f aca="false">IF(COUNTIF(C30:G30,"On time")+COUNTIF(C30:G30,"N/A")=5,"Yes","No")</f>
        <v>Yes</v>
      </c>
    </row>
    <row r="31" customFormat="false" ht="15" hidden="false" customHeight="false" outlineLevel="0" collapsed="false">
      <c r="A31" s="5" t="n">
        <v>1057</v>
      </c>
      <c r="B31" s="5" t="s">
        <v>25</v>
      </c>
      <c r="C31" s="5" t="s">
        <v>5</v>
      </c>
      <c r="D31" s="5" t="s">
        <v>5</v>
      </c>
      <c r="E31" s="5" t="s">
        <v>5</v>
      </c>
      <c r="F31" s="5" t="s">
        <v>26</v>
      </c>
      <c r="G31" s="5" t="s">
        <v>5</v>
      </c>
      <c r="H31" s="5" t="str">
        <f aca="false">IF(COUNTIF(C31:G31,"On time")+COUNTIF(C31:G31,"N/A")=5,"Yes","No")</f>
        <v>Yes</v>
      </c>
    </row>
    <row r="32" customFormat="false" ht="15" hidden="false" customHeight="false" outlineLevel="0" collapsed="false">
      <c r="A32" s="5" t="n">
        <v>1064</v>
      </c>
      <c r="B32" s="5" t="s">
        <v>28</v>
      </c>
      <c r="C32" s="5" t="s">
        <v>5</v>
      </c>
      <c r="D32" s="5" t="s">
        <v>5</v>
      </c>
      <c r="E32" s="5" t="s">
        <v>10</v>
      </c>
      <c r="F32" s="5" t="s">
        <v>5</v>
      </c>
      <c r="G32" s="5" t="s">
        <v>10</v>
      </c>
      <c r="H32" s="5" t="str">
        <f aca="false">IF(COUNTIF(C32:G32,"On time")+COUNTIF(C32:G32,"N/A")=5,"Yes","No")</f>
        <v>No</v>
      </c>
    </row>
    <row r="33" customFormat="false" ht="15" hidden="false" customHeight="false" outlineLevel="0" collapsed="false">
      <c r="A33" s="5" t="n">
        <v>1065</v>
      </c>
      <c r="B33" s="5" t="s">
        <v>27</v>
      </c>
      <c r="C33" s="5" t="s">
        <v>5</v>
      </c>
      <c r="D33" s="5" t="s">
        <v>5</v>
      </c>
      <c r="E33" s="5" t="s">
        <v>5</v>
      </c>
      <c r="F33" s="5" t="s">
        <v>26</v>
      </c>
      <c r="G33" s="5" t="s">
        <v>26</v>
      </c>
      <c r="H33" s="5" t="str">
        <f aca="false">IF(COUNTIF(C33:G33,"On time")+COUNTIF(C33:G33,"N/A")=5,"Yes","No")</f>
        <v>Yes</v>
      </c>
    </row>
    <row r="34" customFormat="false" ht="15" hidden="false" customHeight="false" outlineLevel="0" collapsed="false">
      <c r="A34" s="5" t="n">
        <v>1066</v>
      </c>
      <c r="B34" s="5" t="s">
        <v>27</v>
      </c>
      <c r="C34" s="5" t="s">
        <v>5</v>
      </c>
      <c r="D34" s="5" t="s">
        <v>5</v>
      </c>
      <c r="E34" s="5" t="s">
        <v>9</v>
      </c>
      <c r="F34" s="5" t="s">
        <v>5</v>
      </c>
      <c r="G34" s="5" t="s">
        <v>9</v>
      </c>
      <c r="H34" s="5" t="str">
        <f aca="false">IF(COUNTIF(C34:G34,"On time")+COUNTIF(C34:G34,"N/A")=5,"Yes","No")</f>
        <v>No</v>
      </c>
    </row>
    <row r="35" customFormat="false" ht="15" hidden="false" customHeight="false" outlineLevel="0" collapsed="false">
      <c r="A35" s="5" t="n">
        <v>1070</v>
      </c>
      <c r="B35" s="5" t="s">
        <v>28</v>
      </c>
      <c r="C35" s="5" t="s">
        <v>5</v>
      </c>
      <c r="D35" s="5" t="s">
        <v>5</v>
      </c>
      <c r="E35" s="5" t="s">
        <v>5</v>
      </c>
      <c r="F35" s="5" t="s">
        <v>5</v>
      </c>
      <c r="G35" s="5" t="s">
        <v>5</v>
      </c>
      <c r="H35" s="5" t="str">
        <f aca="false">IF(COUNTIF(C35:G35,"On time")+COUNTIF(C35:G35,"N/A")=5,"Yes","No")</f>
        <v>Yes</v>
      </c>
    </row>
    <row r="36" customFormat="false" ht="15" hidden="false" customHeight="false" outlineLevel="0" collapsed="false">
      <c r="A36" s="5" t="n">
        <v>1072</v>
      </c>
      <c r="B36" s="5" t="s">
        <v>28</v>
      </c>
      <c r="C36" s="5" t="s">
        <v>5</v>
      </c>
      <c r="D36" s="5" t="s">
        <v>10</v>
      </c>
      <c r="E36" s="5" t="s">
        <v>5</v>
      </c>
      <c r="F36" s="5" t="s">
        <v>26</v>
      </c>
      <c r="G36" s="5" t="s">
        <v>5</v>
      </c>
      <c r="H36" s="5" t="str">
        <f aca="false">IF(COUNTIF(C36:G36,"On time")+COUNTIF(C36:G36,"N/A")=5,"Yes","No")</f>
        <v>No</v>
      </c>
    </row>
    <row r="37" customFormat="false" ht="15" hidden="false" customHeight="false" outlineLevel="0" collapsed="false">
      <c r="A37" s="5" t="n">
        <v>1073</v>
      </c>
      <c r="B37" s="5" t="s">
        <v>29</v>
      </c>
      <c r="C37" s="5" t="s">
        <v>5</v>
      </c>
      <c r="D37" s="5" t="s">
        <v>5</v>
      </c>
      <c r="E37" s="5" t="s">
        <v>5</v>
      </c>
      <c r="F37" s="5" t="s">
        <v>26</v>
      </c>
      <c r="G37" s="5" t="s">
        <v>26</v>
      </c>
      <c r="H37" s="5" t="str">
        <f aca="false">IF(COUNTIF(C37:G37,"On time")+COUNTIF(C37:G37,"N/A")=5,"Yes","No")</f>
        <v>Yes</v>
      </c>
    </row>
    <row r="38" customFormat="false" ht="15" hidden="false" customHeight="false" outlineLevel="0" collapsed="false">
      <c r="A38" s="5" t="n">
        <v>1076</v>
      </c>
      <c r="B38" s="5" t="s">
        <v>28</v>
      </c>
      <c r="C38" s="5" t="s">
        <v>5</v>
      </c>
      <c r="D38" s="5" t="s">
        <v>5</v>
      </c>
      <c r="E38" s="5" t="s">
        <v>9</v>
      </c>
      <c r="F38" s="5" t="s">
        <v>26</v>
      </c>
      <c r="G38" s="5" t="s">
        <v>26</v>
      </c>
      <c r="H38" s="5" t="str">
        <f aca="false">IF(COUNTIF(C38:G38,"On time")+COUNTIF(C38:G38,"N/A")=5,"Yes","No")</f>
        <v>No</v>
      </c>
    </row>
    <row r="39" customFormat="false" ht="15" hidden="false" customHeight="false" outlineLevel="0" collapsed="false">
      <c r="A39" s="5" t="n">
        <v>1077</v>
      </c>
      <c r="B39" s="5" t="s">
        <v>28</v>
      </c>
      <c r="C39" s="5" t="s">
        <v>5</v>
      </c>
      <c r="D39" s="5" t="s">
        <v>5</v>
      </c>
      <c r="E39" s="5" t="s">
        <v>9</v>
      </c>
      <c r="F39" s="5" t="s">
        <v>5</v>
      </c>
      <c r="G39" s="5" t="s">
        <v>10</v>
      </c>
      <c r="H39" s="5" t="str">
        <f aca="false">IF(COUNTIF(C39:G39,"On time")+COUNTIF(C39:G39,"N/A")=5,"Yes","No")</f>
        <v>No</v>
      </c>
    </row>
    <row r="40" customFormat="false" ht="15" hidden="false" customHeight="false" outlineLevel="0" collapsed="false">
      <c r="A40" s="5" t="n">
        <v>1081</v>
      </c>
      <c r="B40" s="5" t="s">
        <v>25</v>
      </c>
      <c r="C40" s="5" t="s">
        <v>5</v>
      </c>
      <c r="D40" s="5" t="s">
        <v>5</v>
      </c>
      <c r="E40" s="5" t="s">
        <v>5</v>
      </c>
      <c r="F40" s="5" t="s">
        <v>9</v>
      </c>
      <c r="G40" s="5" t="s">
        <v>5</v>
      </c>
      <c r="H40" s="5" t="str">
        <f aca="false">IF(COUNTIF(C40:G40,"On time")+COUNTIF(C40:G40,"N/A")=5,"Yes","No")</f>
        <v>No</v>
      </c>
    </row>
    <row r="41" customFormat="false" ht="15" hidden="false" customHeight="false" outlineLevel="0" collapsed="false">
      <c r="A41" s="5" t="n">
        <v>1084</v>
      </c>
      <c r="B41" s="5" t="s">
        <v>29</v>
      </c>
      <c r="C41" s="5" t="s">
        <v>5</v>
      </c>
      <c r="D41" s="5" t="s">
        <v>5</v>
      </c>
      <c r="E41" s="5" t="s">
        <v>9</v>
      </c>
      <c r="F41" s="5" t="s">
        <v>5</v>
      </c>
      <c r="G41" s="5" t="s">
        <v>5</v>
      </c>
      <c r="H41" s="5" t="str">
        <f aca="false">IF(COUNTIF(C41:G41,"On time")+COUNTIF(C41:G41,"N/A")=5,"Yes","No")</f>
        <v>No</v>
      </c>
    </row>
    <row r="42" customFormat="false" ht="15" hidden="false" customHeight="false" outlineLevel="0" collapsed="false">
      <c r="A42" s="5" t="n">
        <v>1085</v>
      </c>
      <c r="B42" s="5" t="s">
        <v>25</v>
      </c>
      <c r="C42" s="5" t="s">
        <v>5</v>
      </c>
      <c r="D42" s="5" t="s">
        <v>5</v>
      </c>
      <c r="E42" s="5" t="s">
        <v>9</v>
      </c>
      <c r="F42" s="5" t="s">
        <v>26</v>
      </c>
      <c r="G42" s="5" t="s">
        <v>26</v>
      </c>
      <c r="H42" s="5" t="str">
        <f aca="false">IF(COUNTIF(C42:G42,"On time")+COUNTIF(C42:G42,"N/A")=5,"Yes","No")</f>
        <v>No</v>
      </c>
    </row>
    <row r="43" customFormat="false" ht="15" hidden="false" customHeight="false" outlineLevel="0" collapsed="false">
      <c r="A43" s="5" t="n">
        <v>1087</v>
      </c>
      <c r="B43" s="5" t="s">
        <v>25</v>
      </c>
      <c r="C43" s="5" t="s">
        <v>9</v>
      </c>
      <c r="D43" s="5" t="s">
        <v>5</v>
      </c>
      <c r="E43" s="5" t="s">
        <v>9</v>
      </c>
      <c r="F43" s="5" t="s">
        <v>5</v>
      </c>
      <c r="G43" s="5" t="s">
        <v>5</v>
      </c>
      <c r="H43" s="5" t="str">
        <f aca="false">IF(COUNTIF(C43:G43,"On time")+COUNTIF(C43:G43,"N/A")=5,"Yes","No")</f>
        <v>No</v>
      </c>
    </row>
    <row r="44" customFormat="false" ht="15" hidden="false" customHeight="false" outlineLevel="0" collapsed="false">
      <c r="A44" s="5" t="n">
        <v>1089</v>
      </c>
      <c r="B44" s="5" t="s">
        <v>28</v>
      </c>
      <c r="C44" s="5" t="s">
        <v>9</v>
      </c>
      <c r="D44" s="5" t="s">
        <v>5</v>
      </c>
      <c r="E44" s="5" t="s">
        <v>9</v>
      </c>
      <c r="F44" s="5" t="s">
        <v>5</v>
      </c>
      <c r="G44" s="5" t="s">
        <v>5</v>
      </c>
      <c r="H44" s="5" t="str">
        <f aca="false">IF(COUNTIF(C44:G44,"On time")+COUNTIF(C44:G44,"N/A")=5,"Yes","No")</f>
        <v>No</v>
      </c>
    </row>
    <row r="45" customFormat="false" ht="15" hidden="false" customHeight="false" outlineLevel="0" collapsed="false">
      <c r="A45" s="5" t="n">
        <v>1091</v>
      </c>
      <c r="B45" s="5" t="s">
        <v>27</v>
      </c>
      <c r="C45" s="5" t="s">
        <v>5</v>
      </c>
      <c r="D45" s="5" t="s">
        <v>5</v>
      </c>
      <c r="E45" s="5" t="s">
        <v>5</v>
      </c>
      <c r="F45" s="5" t="s">
        <v>5</v>
      </c>
      <c r="G45" s="5" t="s">
        <v>26</v>
      </c>
      <c r="H45" s="5" t="str">
        <f aca="false">IF(COUNTIF(C45:G45,"On time")+COUNTIF(C45:G45,"N/A")=5,"Yes","No")</f>
        <v>Yes</v>
      </c>
    </row>
    <row r="46" customFormat="false" ht="15" hidden="false" customHeight="false" outlineLevel="0" collapsed="false">
      <c r="A46" s="5" t="n">
        <v>1099</v>
      </c>
      <c r="B46" s="5" t="s">
        <v>25</v>
      </c>
      <c r="C46" s="5" t="s">
        <v>5</v>
      </c>
      <c r="D46" s="5" t="s">
        <v>5</v>
      </c>
      <c r="E46" s="5" t="s">
        <v>5</v>
      </c>
      <c r="F46" s="5" t="s">
        <v>26</v>
      </c>
      <c r="G46" s="5" t="s">
        <v>26</v>
      </c>
      <c r="H46" s="5" t="str">
        <f aca="false">IF(COUNTIF(C46:G46,"On time")+COUNTIF(C46:G46,"N/A")=5,"Yes","No")</f>
        <v>Yes</v>
      </c>
    </row>
    <row r="47" customFormat="false" ht="15" hidden="false" customHeight="false" outlineLevel="0" collapsed="false">
      <c r="A47" s="5" t="n">
        <v>1103</v>
      </c>
      <c r="B47" s="5" t="s">
        <v>28</v>
      </c>
      <c r="C47" s="5" t="s">
        <v>5</v>
      </c>
      <c r="D47" s="5" t="s">
        <v>5</v>
      </c>
      <c r="E47" s="5" t="s">
        <v>5</v>
      </c>
      <c r="F47" s="5" t="s">
        <v>26</v>
      </c>
      <c r="G47" s="5" t="s">
        <v>9</v>
      </c>
      <c r="H47" s="5" t="str">
        <f aca="false">IF(COUNTIF(C47:G47,"On time")+COUNTIF(C47:G47,"N/A")=5,"Yes","No")</f>
        <v>No</v>
      </c>
    </row>
    <row r="48" customFormat="false" ht="15" hidden="false" customHeight="false" outlineLevel="0" collapsed="false">
      <c r="A48" s="5" t="n">
        <v>1107</v>
      </c>
      <c r="B48" s="5" t="s">
        <v>28</v>
      </c>
      <c r="C48" s="5" t="s">
        <v>5</v>
      </c>
      <c r="D48" s="5" t="s">
        <v>5</v>
      </c>
      <c r="E48" s="5" t="s">
        <v>5</v>
      </c>
      <c r="F48" s="5" t="s">
        <v>5</v>
      </c>
      <c r="G48" s="5" t="s">
        <v>5</v>
      </c>
      <c r="H48" s="5" t="str">
        <f aca="false">IF(COUNTIF(C48:G48,"On time")+COUNTIF(C48:G48,"N/A")=5,"Yes","No")</f>
        <v>Yes</v>
      </c>
    </row>
    <row r="49" customFormat="false" ht="15" hidden="false" customHeight="false" outlineLevel="0" collapsed="false">
      <c r="A49" s="5" t="n">
        <v>1108</v>
      </c>
      <c r="B49" s="5" t="s">
        <v>27</v>
      </c>
      <c r="C49" s="5" t="s">
        <v>9</v>
      </c>
      <c r="D49" s="5" t="s">
        <v>5</v>
      </c>
      <c r="E49" s="5" t="s">
        <v>5</v>
      </c>
      <c r="F49" s="5" t="s">
        <v>26</v>
      </c>
      <c r="G49" s="5" t="s">
        <v>26</v>
      </c>
      <c r="H49" s="5" t="str">
        <f aca="false">IF(COUNTIF(C49:G49,"On time")+COUNTIF(C49:G49,"N/A")=5,"Yes","No")</f>
        <v>No</v>
      </c>
    </row>
    <row r="50" customFormat="false" ht="15" hidden="false" customHeight="false" outlineLevel="0" collapsed="false">
      <c r="A50" s="5" t="n">
        <v>1113</v>
      </c>
      <c r="B50" s="5" t="s">
        <v>29</v>
      </c>
      <c r="C50" s="5" t="s">
        <v>5</v>
      </c>
      <c r="D50" s="5" t="s">
        <v>5</v>
      </c>
      <c r="E50" s="5" t="s">
        <v>5</v>
      </c>
      <c r="F50" s="5" t="s">
        <v>26</v>
      </c>
      <c r="G50" s="5" t="s">
        <v>26</v>
      </c>
      <c r="H50" s="5" t="str">
        <f aca="false">IF(COUNTIF(C50:G50,"On time")+COUNTIF(C50:G50,"N/A")=5,"Yes","No")</f>
        <v>Yes</v>
      </c>
    </row>
    <row r="51" customFormat="false" ht="15" hidden="false" customHeight="false" outlineLevel="0" collapsed="false">
      <c r="A51" s="5" t="n">
        <v>1114</v>
      </c>
      <c r="B51" s="5" t="s">
        <v>25</v>
      </c>
      <c r="C51" s="5" t="s">
        <v>5</v>
      </c>
      <c r="D51" s="5" t="s">
        <v>11</v>
      </c>
      <c r="E51" s="5" t="s">
        <v>5</v>
      </c>
      <c r="F51" s="5" t="s">
        <v>26</v>
      </c>
      <c r="G51" s="5" t="s">
        <v>5</v>
      </c>
      <c r="H51" s="5" t="str">
        <f aca="false">IF(COUNTIF(C51:G51,"On time")+COUNTIF(C51:G51,"N/A")=5,"Yes","No")</f>
        <v>No</v>
      </c>
    </row>
    <row r="52" customFormat="false" ht="15" hidden="false" customHeight="false" outlineLevel="0" collapsed="false">
      <c r="A52" s="5" t="n">
        <v>1117</v>
      </c>
      <c r="B52" s="5" t="s">
        <v>28</v>
      </c>
      <c r="C52" s="5" t="s">
        <v>5</v>
      </c>
      <c r="D52" s="5" t="s">
        <v>5</v>
      </c>
      <c r="E52" s="5" t="s">
        <v>5</v>
      </c>
      <c r="F52" s="5" t="s">
        <v>5</v>
      </c>
      <c r="G52" s="5" t="s">
        <v>26</v>
      </c>
      <c r="H52" s="5" t="str">
        <f aca="false">IF(COUNTIF(C52:G52,"On time")+COUNTIF(C52:G52,"N/A")=5,"Yes","No")</f>
        <v>Yes</v>
      </c>
    </row>
    <row r="53" customFormat="false" ht="15" hidden="false" customHeight="false" outlineLevel="0" collapsed="false">
      <c r="A53" s="5" t="n">
        <v>1118</v>
      </c>
      <c r="B53" s="5" t="s">
        <v>28</v>
      </c>
      <c r="C53" s="5" t="s">
        <v>5</v>
      </c>
      <c r="D53" s="5" t="s">
        <v>5</v>
      </c>
      <c r="E53" s="5" t="s">
        <v>5</v>
      </c>
      <c r="F53" s="5" t="s">
        <v>5</v>
      </c>
      <c r="G53" s="5" t="s">
        <v>5</v>
      </c>
      <c r="H53" s="5" t="str">
        <f aca="false">IF(COUNTIF(C53:G53,"On time")+COUNTIF(C53:G53,"N/A")=5,"Yes","No")</f>
        <v>Yes</v>
      </c>
    </row>
    <row r="54" customFormat="false" ht="15" hidden="false" customHeight="false" outlineLevel="0" collapsed="false">
      <c r="A54" s="5" t="n">
        <v>1119</v>
      </c>
      <c r="B54" s="5" t="s">
        <v>25</v>
      </c>
      <c r="C54" s="5" t="s">
        <v>9</v>
      </c>
      <c r="D54" s="5" t="s">
        <v>5</v>
      </c>
      <c r="E54" s="5" t="s">
        <v>5</v>
      </c>
      <c r="F54" s="5" t="s">
        <v>26</v>
      </c>
      <c r="G54" s="5" t="s">
        <v>26</v>
      </c>
      <c r="H54" s="5" t="str">
        <f aca="false">IF(COUNTIF(C54:G54,"On time")+COUNTIF(C54:G54,"N/A")=5,"Yes","No")</f>
        <v>No</v>
      </c>
    </row>
    <row r="55" customFormat="false" ht="15" hidden="false" customHeight="false" outlineLevel="0" collapsed="false">
      <c r="A55" s="5" t="n">
        <v>1120</v>
      </c>
      <c r="B55" s="5" t="s">
        <v>27</v>
      </c>
      <c r="C55" s="5" t="s">
        <v>5</v>
      </c>
      <c r="D55" s="5" t="s">
        <v>5</v>
      </c>
      <c r="E55" s="5" t="s">
        <v>5</v>
      </c>
      <c r="F55" s="5" t="s">
        <v>5</v>
      </c>
      <c r="G55" s="5" t="s">
        <v>5</v>
      </c>
      <c r="H55" s="5" t="str">
        <f aca="false">IF(COUNTIF(C55:G55,"On time")+COUNTIF(C55:G55,"N/A")=5,"Yes","No")</f>
        <v>Yes</v>
      </c>
    </row>
    <row r="56" customFormat="false" ht="15" hidden="false" customHeight="false" outlineLevel="0" collapsed="false">
      <c r="A56" s="5" t="n">
        <v>1121</v>
      </c>
      <c r="B56" s="5" t="s">
        <v>28</v>
      </c>
      <c r="C56" s="5" t="s">
        <v>5</v>
      </c>
      <c r="D56" s="5" t="s">
        <v>5</v>
      </c>
      <c r="E56" s="5" t="s">
        <v>5</v>
      </c>
      <c r="F56" s="5" t="s">
        <v>5</v>
      </c>
      <c r="G56" s="5" t="s">
        <v>26</v>
      </c>
      <c r="H56" s="5" t="str">
        <f aca="false">IF(COUNTIF(C56:G56,"On time")+COUNTIF(C56:G56,"N/A")=5,"Yes","No")</f>
        <v>Yes</v>
      </c>
    </row>
    <row r="57" customFormat="false" ht="15" hidden="false" customHeight="false" outlineLevel="0" collapsed="false">
      <c r="A57" s="5" t="n">
        <v>1123</v>
      </c>
      <c r="B57" s="5" t="s">
        <v>28</v>
      </c>
      <c r="C57" s="5" t="s">
        <v>5</v>
      </c>
      <c r="D57" s="5" t="s">
        <v>5</v>
      </c>
      <c r="E57" s="5" t="s">
        <v>5</v>
      </c>
      <c r="F57" s="5" t="s">
        <v>5</v>
      </c>
      <c r="G57" s="5" t="s">
        <v>5</v>
      </c>
      <c r="H57" s="5" t="str">
        <f aca="false">IF(COUNTIF(C57:G57,"On time")+COUNTIF(C57:G57,"N/A")=5,"Yes","No")</f>
        <v>Yes</v>
      </c>
    </row>
    <row r="58" customFormat="false" ht="15" hidden="false" customHeight="false" outlineLevel="0" collapsed="false">
      <c r="A58" s="5" t="n">
        <v>1124</v>
      </c>
      <c r="B58" s="5" t="s">
        <v>25</v>
      </c>
      <c r="C58" s="5" t="s">
        <v>5</v>
      </c>
      <c r="D58" s="5" t="s">
        <v>5</v>
      </c>
      <c r="E58" s="5" t="s">
        <v>5</v>
      </c>
      <c r="F58" s="5" t="s">
        <v>26</v>
      </c>
      <c r="G58" s="5" t="s">
        <v>26</v>
      </c>
      <c r="H58" s="5" t="str">
        <f aca="false">IF(COUNTIF(C58:G58,"On time")+COUNTIF(C58:G58,"N/A")=5,"Yes","No")</f>
        <v>Yes</v>
      </c>
    </row>
    <row r="59" customFormat="false" ht="15" hidden="false" customHeight="false" outlineLevel="0" collapsed="false">
      <c r="A59" s="5" t="n">
        <v>1127</v>
      </c>
      <c r="B59" s="5" t="s">
        <v>25</v>
      </c>
      <c r="C59" s="5" t="s">
        <v>5</v>
      </c>
      <c r="D59" s="5" t="s">
        <v>5</v>
      </c>
      <c r="E59" s="5" t="s">
        <v>9</v>
      </c>
      <c r="F59" s="5" t="s">
        <v>5</v>
      </c>
      <c r="G59" s="5" t="s">
        <v>9</v>
      </c>
      <c r="H59" s="5" t="str">
        <f aca="false">IF(COUNTIF(C59:G59,"On time")+COUNTIF(C59:G59,"N/A")=5,"Yes","No")</f>
        <v>No</v>
      </c>
    </row>
    <row r="60" customFormat="false" ht="15" hidden="false" customHeight="false" outlineLevel="0" collapsed="false">
      <c r="A60" s="5" t="n">
        <v>1128</v>
      </c>
      <c r="B60" s="5" t="s">
        <v>28</v>
      </c>
      <c r="C60" s="5" t="s">
        <v>5</v>
      </c>
      <c r="D60" s="5" t="s">
        <v>11</v>
      </c>
      <c r="E60" s="5" t="s">
        <v>5</v>
      </c>
      <c r="F60" s="5" t="s">
        <v>5</v>
      </c>
      <c r="G60" s="5" t="s">
        <v>5</v>
      </c>
      <c r="H60" s="5" t="str">
        <f aca="false">IF(COUNTIF(C60:G60,"On time")+COUNTIF(C60:G60,"N/A")=5,"Yes","No")</f>
        <v>No</v>
      </c>
    </row>
    <row r="61" customFormat="false" ht="15" hidden="false" customHeight="false" outlineLevel="0" collapsed="false">
      <c r="A61" s="5" t="n">
        <v>1129</v>
      </c>
      <c r="B61" s="5" t="s">
        <v>28</v>
      </c>
      <c r="C61" s="5" t="s">
        <v>9</v>
      </c>
      <c r="D61" s="5" t="s">
        <v>5</v>
      </c>
      <c r="E61" s="5" t="s">
        <v>5</v>
      </c>
      <c r="F61" s="5" t="s">
        <v>26</v>
      </c>
      <c r="G61" s="5" t="s">
        <v>5</v>
      </c>
      <c r="H61" s="5" t="str">
        <f aca="false">IF(COUNTIF(C61:G61,"On time")+COUNTIF(C61:G61,"N/A")=5,"Yes","No")</f>
        <v>No</v>
      </c>
    </row>
    <row r="62" customFormat="false" ht="15" hidden="false" customHeight="false" outlineLevel="0" collapsed="false">
      <c r="A62" s="5" t="n">
        <v>1130</v>
      </c>
      <c r="B62" s="5" t="s">
        <v>28</v>
      </c>
      <c r="C62" s="5" t="s">
        <v>5</v>
      </c>
      <c r="D62" s="5" t="s">
        <v>5</v>
      </c>
      <c r="E62" s="5" t="s">
        <v>5</v>
      </c>
      <c r="F62" s="5" t="s">
        <v>26</v>
      </c>
      <c r="G62" s="5" t="s">
        <v>5</v>
      </c>
      <c r="H62" s="5" t="str">
        <f aca="false">IF(COUNTIF(C62:G62,"On time")+COUNTIF(C62:G62,"N/A")=5,"Yes","No")</f>
        <v>Yes</v>
      </c>
    </row>
    <row r="63" customFormat="false" ht="15" hidden="false" customHeight="false" outlineLevel="0" collapsed="false">
      <c r="A63" s="5" t="n">
        <v>1131</v>
      </c>
      <c r="B63" s="5" t="s">
        <v>28</v>
      </c>
      <c r="C63" s="5" t="s">
        <v>5</v>
      </c>
      <c r="D63" s="5" t="s">
        <v>5</v>
      </c>
      <c r="E63" s="5" t="s">
        <v>9</v>
      </c>
      <c r="F63" s="5" t="s">
        <v>26</v>
      </c>
      <c r="G63" s="5" t="s">
        <v>5</v>
      </c>
      <c r="H63" s="5" t="str">
        <f aca="false">IF(COUNTIF(C63:G63,"On time")+COUNTIF(C63:G63,"N/A")=5,"Yes","No")</f>
        <v>No</v>
      </c>
    </row>
    <row r="64" customFormat="false" ht="15" hidden="false" customHeight="false" outlineLevel="0" collapsed="false">
      <c r="A64" s="5" t="n">
        <v>1132</v>
      </c>
      <c r="B64" s="5" t="s">
        <v>28</v>
      </c>
      <c r="C64" s="5" t="s">
        <v>5</v>
      </c>
      <c r="D64" s="5" t="s">
        <v>5</v>
      </c>
      <c r="E64" s="5" t="s">
        <v>5</v>
      </c>
      <c r="F64" s="5" t="s">
        <v>5</v>
      </c>
      <c r="G64" s="5" t="s">
        <v>26</v>
      </c>
      <c r="H64" s="5" t="str">
        <f aca="false">IF(COUNTIF(C64:G64,"On time")+COUNTIF(C64:G64,"N/A")=5,"Yes","No")</f>
        <v>Yes</v>
      </c>
    </row>
    <row r="65" customFormat="false" ht="15" hidden="false" customHeight="false" outlineLevel="0" collapsed="false">
      <c r="A65" s="5" t="n">
        <v>1133</v>
      </c>
      <c r="B65" s="5" t="s">
        <v>29</v>
      </c>
      <c r="C65" s="5" t="s">
        <v>5</v>
      </c>
      <c r="D65" s="5" t="s">
        <v>5</v>
      </c>
      <c r="E65" s="5" t="s">
        <v>5</v>
      </c>
      <c r="F65" s="5" t="s">
        <v>5</v>
      </c>
      <c r="G65" s="5" t="s">
        <v>5</v>
      </c>
      <c r="H65" s="5" t="str">
        <f aca="false">IF(COUNTIF(C65:G65,"On time")+COUNTIF(C65:G65,"N/A")=5,"Yes","No")</f>
        <v>Yes</v>
      </c>
    </row>
    <row r="66" customFormat="false" ht="15" hidden="false" customHeight="false" outlineLevel="0" collapsed="false">
      <c r="A66" s="5" t="n">
        <v>1134</v>
      </c>
      <c r="B66" s="5" t="s">
        <v>29</v>
      </c>
      <c r="C66" s="5" t="s">
        <v>5</v>
      </c>
      <c r="D66" s="5" t="s">
        <v>11</v>
      </c>
      <c r="E66" s="5" t="s">
        <v>5</v>
      </c>
      <c r="F66" s="5" t="s">
        <v>10</v>
      </c>
      <c r="G66" s="5" t="s">
        <v>10</v>
      </c>
      <c r="H66" s="5" t="str">
        <f aca="false">IF(COUNTIF(C66:G66,"On time")+COUNTIF(C66:G66,"N/A")=5,"Yes","No")</f>
        <v>No</v>
      </c>
    </row>
    <row r="67" customFormat="false" ht="15" hidden="false" customHeight="false" outlineLevel="0" collapsed="false">
      <c r="A67" s="5" t="n">
        <v>1138</v>
      </c>
      <c r="B67" s="5" t="s">
        <v>27</v>
      </c>
      <c r="C67" s="5" t="s">
        <v>5</v>
      </c>
      <c r="D67" s="5" t="s">
        <v>5</v>
      </c>
      <c r="E67" s="5" t="s">
        <v>5</v>
      </c>
      <c r="F67" s="5" t="s">
        <v>26</v>
      </c>
      <c r="G67" s="5" t="s">
        <v>5</v>
      </c>
      <c r="H67" s="5" t="str">
        <f aca="false">IF(COUNTIF(C67:G67,"On time")+COUNTIF(C67:G67,"N/A")=5,"Yes","No")</f>
        <v>Yes</v>
      </c>
    </row>
    <row r="68" customFormat="false" ht="15" hidden="false" customHeight="false" outlineLevel="0" collapsed="false">
      <c r="A68" s="5" t="n">
        <v>1139</v>
      </c>
      <c r="B68" s="5" t="s">
        <v>29</v>
      </c>
      <c r="C68" s="5" t="s">
        <v>5</v>
      </c>
      <c r="D68" s="5" t="s">
        <v>5</v>
      </c>
      <c r="E68" s="5" t="s">
        <v>9</v>
      </c>
      <c r="F68" s="5" t="s">
        <v>26</v>
      </c>
      <c r="G68" s="5" t="s">
        <v>26</v>
      </c>
      <c r="H68" s="5" t="str">
        <f aca="false">IF(COUNTIF(C68:G68,"On time")+COUNTIF(C68:G68,"N/A")=5,"Yes","No")</f>
        <v>No</v>
      </c>
    </row>
    <row r="69" customFormat="false" ht="15" hidden="false" customHeight="false" outlineLevel="0" collapsed="false">
      <c r="A69" s="5" t="n">
        <v>1140</v>
      </c>
      <c r="B69" s="5" t="s">
        <v>25</v>
      </c>
      <c r="C69" s="5" t="s">
        <v>5</v>
      </c>
      <c r="D69" s="5" t="s">
        <v>5</v>
      </c>
      <c r="E69" s="5" t="s">
        <v>5</v>
      </c>
      <c r="F69" s="5" t="s">
        <v>5</v>
      </c>
      <c r="G69" s="5" t="s">
        <v>5</v>
      </c>
      <c r="H69" s="5" t="str">
        <f aca="false">IF(COUNTIF(C69:G69,"On time")+COUNTIF(C69:G69,"N/A")=5,"Yes","No")</f>
        <v>Yes</v>
      </c>
    </row>
    <row r="70" customFormat="false" ht="15" hidden="false" customHeight="false" outlineLevel="0" collapsed="false">
      <c r="A70" s="5" t="n">
        <v>1143</v>
      </c>
      <c r="B70" s="5" t="s">
        <v>28</v>
      </c>
      <c r="C70" s="5" t="s">
        <v>5</v>
      </c>
      <c r="D70" s="5" t="s">
        <v>5</v>
      </c>
      <c r="E70" s="5" t="s">
        <v>5</v>
      </c>
      <c r="F70" s="5" t="s">
        <v>5</v>
      </c>
      <c r="G70" s="5" t="s">
        <v>26</v>
      </c>
      <c r="H70" s="5" t="str">
        <f aca="false">IF(COUNTIF(C70:G70,"On time")+COUNTIF(C70:G70,"N/A")=5,"Yes","No")</f>
        <v>Yes</v>
      </c>
    </row>
    <row r="71" customFormat="false" ht="15" hidden="false" customHeight="false" outlineLevel="0" collapsed="false">
      <c r="A71" s="5" t="n">
        <v>1148</v>
      </c>
      <c r="B71" s="5" t="s">
        <v>29</v>
      </c>
      <c r="C71" s="5" t="s">
        <v>5</v>
      </c>
      <c r="D71" s="5" t="s">
        <v>5</v>
      </c>
      <c r="E71" s="5" t="s">
        <v>5</v>
      </c>
      <c r="F71" s="5" t="s">
        <v>5</v>
      </c>
      <c r="G71" s="5" t="s">
        <v>5</v>
      </c>
      <c r="H71" s="5" t="str">
        <f aca="false">IF(COUNTIF(C71:G71,"On time")+COUNTIF(C71:G71,"N/A")=5,"Yes","No")</f>
        <v>Yes</v>
      </c>
    </row>
    <row r="72" customFormat="false" ht="15" hidden="false" customHeight="false" outlineLevel="0" collapsed="false">
      <c r="A72" s="5" t="n">
        <v>1150</v>
      </c>
      <c r="B72" s="5" t="s">
        <v>28</v>
      </c>
      <c r="C72" s="5" t="s">
        <v>5</v>
      </c>
      <c r="D72" s="5" t="s">
        <v>5</v>
      </c>
      <c r="E72" s="5" t="s">
        <v>5</v>
      </c>
      <c r="F72" s="5" t="s">
        <v>5</v>
      </c>
      <c r="G72" s="5" t="s">
        <v>26</v>
      </c>
      <c r="H72" s="5" t="str">
        <f aca="false">IF(COUNTIF(C72:G72,"On time")+COUNTIF(C72:G72,"N/A")=5,"Yes","No")</f>
        <v>Yes</v>
      </c>
    </row>
    <row r="73" customFormat="false" ht="15" hidden="false" customHeight="false" outlineLevel="0" collapsed="false">
      <c r="A73" s="5" t="n">
        <v>1153</v>
      </c>
      <c r="B73" s="5" t="s">
        <v>27</v>
      </c>
      <c r="C73" s="5" t="s">
        <v>9</v>
      </c>
      <c r="D73" s="5" t="s">
        <v>5</v>
      </c>
      <c r="E73" s="5" t="s">
        <v>5</v>
      </c>
      <c r="F73" s="5" t="s">
        <v>26</v>
      </c>
      <c r="G73" s="5" t="s">
        <v>9</v>
      </c>
      <c r="H73" s="5" t="str">
        <f aca="false">IF(COUNTIF(C73:G73,"On time")+COUNTIF(C73:G73,"N/A")=5,"Yes","No")</f>
        <v>No</v>
      </c>
    </row>
    <row r="74" customFormat="false" ht="15" hidden="false" customHeight="false" outlineLevel="0" collapsed="false">
      <c r="A74" s="5" t="n">
        <v>1155</v>
      </c>
      <c r="B74" s="5" t="s">
        <v>29</v>
      </c>
      <c r="C74" s="5" t="s">
        <v>5</v>
      </c>
      <c r="D74" s="5" t="s">
        <v>5</v>
      </c>
      <c r="E74" s="5" t="s">
        <v>5</v>
      </c>
      <c r="F74" s="5" t="s">
        <v>5</v>
      </c>
      <c r="G74" s="5" t="s">
        <v>5</v>
      </c>
      <c r="H74" s="5" t="str">
        <f aca="false">IF(COUNTIF(C74:G74,"On time")+COUNTIF(C74:G74,"N/A")=5,"Yes","No")</f>
        <v>Yes</v>
      </c>
    </row>
    <row r="75" customFormat="false" ht="15" hidden="false" customHeight="false" outlineLevel="0" collapsed="false">
      <c r="A75" s="5" t="n">
        <v>1157</v>
      </c>
      <c r="B75" s="5" t="s">
        <v>27</v>
      </c>
      <c r="C75" s="5" t="s">
        <v>5</v>
      </c>
      <c r="D75" s="5" t="s">
        <v>5</v>
      </c>
      <c r="E75" s="5" t="s">
        <v>5</v>
      </c>
      <c r="F75" s="5" t="s">
        <v>5</v>
      </c>
      <c r="G75" s="5" t="s">
        <v>5</v>
      </c>
      <c r="H75" s="5" t="str">
        <f aca="false">IF(COUNTIF(C75:G75,"On time")+COUNTIF(C75:G75,"N/A")=5,"Yes","No")</f>
        <v>Yes</v>
      </c>
    </row>
    <row r="76" customFormat="false" ht="15" hidden="false" customHeight="false" outlineLevel="0" collapsed="false">
      <c r="A76" s="5" t="n">
        <v>1159</v>
      </c>
      <c r="B76" s="5" t="s">
        <v>27</v>
      </c>
      <c r="C76" s="5" t="s">
        <v>5</v>
      </c>
      <c r="D76" s="5" t="s">
        <v>5</v>
      </c>
      <c r="E76" s="5" t="s">
        <v>5</v>
      </c>
      <c r="F76" s="5" t="s">
        <v>26</v>
      </c>
      <c r="G76" s="5" t="s">
        <v>5</v>
      </c>
      <c r="H76" s="5" t="str">
        <f aca="false">IF(COUNTIF(C76:G76,"On time")+COUNTIF(C76:G76,"N/A")=5,"Yes","No")</f>
        <v>Yes</v>
      </c>
    </row>
    <row r="77" customFormat="false" ht="15" hidden="false" customHeight="false" outlineLevel="0" collapsed="false">
      <c r="A77" s="5" t="n">
        <v>1161</v>
      </c>
      <c r="B77" s="5" t="s">
        <v>28</v>
      </c>
      <c r="C77" s="5" t="s">
        <v>5</v>
      </c>
      <c r="D77" s="5" t="s">
        <v>5</v>
      </c>
      <c r="E77" s="5" t="s">
        <v>5</v>
      </c>
      <c r="F77" s="5" t="s">
        <v>5</v>
      </c>
      <c r="G77" s="5" t="s">
        <v>5</v>
      </c>
      <c r="H77" s="5" t="str">
        <f aca="false">IF(COUNTIF(C77:G77,"On time")+COUNTIF(C77:G77,"N/A")=5,"Yes","No")</f>
        <v>Yes</v>
      </c>
    </row>
    <row r="78" customFormat="false" ht="15" hidden="false" customHeight="false" outlineLevel="0" collapsed="false">
      <c r="A78" s="5" t="n">
        <v>1162</v>
      </c>
      <c r="B78" s="5" t="s">
        <v>27</v>
      </c>
      <c r="C78" s="5" t="s">
        <v>5</v>
      </c>
      <c r="D78" s="5" t="s">
        <v>5</v>
      </c>
      <c r="E78" s="5" t="s">
        <v>5</v>
      </c>
      <c r="F78" s="5" t="s">
        <v>26</v>
      </c>
      <c r="G78" s="5" t="s">
        <v>26</v>
      </c>
      <c r="H78" s="5" t="str">
        <f aca="false">IF(COUNTIF(C78:G78,"On time")+COUNTIF(C78:G78,"N/A")=5,"Yes","No")</f>
        <v>Yes</v>
      </c>
    </row>
    <row r="79" customFormat="false" ht="15" hidden="false" customHeight="false" outlineLevel="0" collapsed="false">
      <c r="A79" s="5" t="n">
        <v>1165</v>
      </c>
      <c r="B79" s="5" t="s">
        <v>27</v>
      </c>
      <c r="C79" s="5" t="s">
        <v>5</v>
      </c>
      <c r="D79" s="5" t="s">
        <v>5</v>
      </c>
      <c r="E79" s="5" t="s">
        <v>5</v>
      </c>
      <c r="F79" s="5" t="s">
        <v>5</v>
      </c>
      <c r="G79" s="5" t="s">
        <v>10</v>
      </c>
      <c r="H79" s="5" t="str">
        <f aca="false">IF(COUNTIF(C79:G79,"On time")+COUNTIF(C79:G79,"N/A")=5,"Yes","No")</f>
        <v>No</v>
      </c>
    </row>
    <row r="80" customFormat="false" ht="15" hidden="false" customHeight="false" outlineLevel="0" collapsed="false">
      <c r="A80" s="5" t="n">
        <v>1166</v>
      </c>
      <c r="B80" s="5" t="s">
        <v>29</v>
      </c>
      <c r="C80" s="5" t="s">
        <v>5</v>
      </c>
      <c r="D80" s="5" t="s">
        <v>5</v>
      </c>
      <c r="E80" s="5" t="s">
        <v>5</v>
      </c>
      <c r="F80" s="5" t="s">
        <v>26</v>
      </c>
      <c r="G80" s="5" t="s">
        <v>26</v>
      </c>
      <c r="H80" s="5" t="str">
        <f aca="false">IF(COUNTIF(C80:G80,"On time")+COUNTIF(C80:G80,"N/A")=5,"Yes","No")</f>
        <v>Yes</v>
      </c>
    </row>
    <row r="81" customFormat="false" ht="15" hidden="false" customHeight="false" outlineLevel="0" collapsed="false">
      <c r="A81" s="5" t="n">
        <v>1168</v>
      </c>
      <c r="B81" s="5" t="s">
        <v>27</v>
      </c>
      <c r="C81" s="5" t="s">
        <v>5</v>
      </c>
      <c r="D81" s="5" t="s">
        <v>5</v>
      </c>
      <c r="E81" s="5" t="s">
        <v>5</v>
      </c>
      <c r="F81" s="5" t="s">
        <v>26</v>
      </c>
      <c r="G81" s="5" t="s">
        <v>26</v>
      </c>
      <c r="H81" s="5" t="str">
        <f aca="false">IF(COUNTIF(C81:G81,"On time")+COUNTIF(C81:G81,"N/A")=5,"Yes","No")</f>
        <v>Yes</v>
      </c>
    </row>
    <row r="82" customFormat="false" ht="15" hidden="false" customHeight="false" outlineLevel="0" collapsed="false">
      <c r="A82" s="5" t="n">
        <v>1170</v>
      </c>
      <c r="B82" s="5" t="s">
        <v>25</v>
      </c>
      <c r="C82" s="5" t="s">
        <v>5</v>
      </c>
      <c r="D82" s="5" t="s">
        <v>5</v>
      </c>
      <c r="E82" s="5" t="s">
        <v>9</v>
      </c>
      <c r="F82" s="5" t="s">
        <v>26</v>
      </c>
      <c r="G82" s="5" t="s">
        <v>5</v>
      </c>
      <c r="H82" s="5" t="str">
        <f aca="false">IF(COUNTIF(C82:G82,"On time")+COUNTIF(C82:G82,"N/A")=5,"Yes","No")</f>
        <v>No</v>
      </c>
    </row>
    <row r="83" customFormat="false" ht="15" hidden="false" customHeight="false" outlineLevel="0" collapsed="false">
      <c r="A83" s="5" t="n">
        <v>1171</v>
      </c>
      <c r="B83" s="5" t="s">
        <v>29</v>
      </c>
      <c r="C83" s="5" t="s">
        <v>5</v>
      </c>
      <c r="D83" s="5" t="s">
        <v>5</v>
      </c>
      <c r="E83" s="5" t="s">
        <v>5</v>
      </c>
      <c r="F83" s="5" t="s">
        <v>5</v>
      </c>
      <c r="G83" s="5" t="s">
        <v>5</v>
      </c>
      <c r="H83" s="5" t="str">
        <f aca="false">IF(COUNTIF(C83:G83,"On time")+COUNTIF(C83:G83,"N/A")=5,"Yes","No")</f>
        <v>Yes</v>
      </c>
    </row>
    <row r="84" customFormat="false" ht="15" hidden="false" customHeight="false" outlineLevel="0" collapsed="false">
      <c r="A84" s="5" t="n">
        <v>1172</v>
      </c>
      <c r="B84" s="5" t="s">
        <v>29</v>
      </c>
      <c r="C84" s="5" t="s">
        <v>9</v>
      </c>
      <c r="D84" s="5" t="s">
        <v>5</v>
      </c>
      <c r="E84" s="5" t="s">
        <v>9</v>
      </c>
      <c r="F84" s="5" t="s">
        <v>9</v>
      </c>
      <c r="G84" s="5" t="s">
        <v>9</v>
      </c>
      <c r="H84" s="5" t="str">
        <f aca="false">IF(COUNTIF(C84:G84,"On time")+COUNTIF(C84:G84,"N/A")=5,"Yes","No")</f>
        <v>No</v>
      </c>
    </row>
    <row r="85" customFormat="false" ht="15" hidden="false" customHeight="false" outlineLevel="0" collapsed="false">
      <c r="A85" s="5" t="n">
        <v>1173</v>
      </c>
      <c r="B85" s="5" t="s">
        <v>28</v>
      </c>
      <c r="C85" s="5" t="s">
        <v>5</v>
      </c>
      <c r="D85" s="5" t="s">
        <v>5</v>
      </c>
      <c r="E85" s="5" t="s">
        <v>5</v>
      </c>
      <c r="F85" s="5" t="s">
        <v>5</v>
      </c>
      <c r="G85" s="5" t="s">
        <v>5</v>
      </c>
      <c r="H85" s="5" t="str">
        <f aca="false">IF(COUNTIF(C85:G85,"On time")+COUNTIF(C85:G85,"N/A")=5,"Yes","No")</f>
        <v>Yes</v>
      </c>
    </row>
    <row r="86" customFormat="false" ht="15" hidden="false" customHeight="false" outlineLevel="0" collapsed="false">
      <c r="A86" s="5" t="n">
        <v>1174</v>
      </c>
      <c r="B86" s="5" t="s">
        <v>27</v>
      </c>
      <c r="C86" s="5" t="s">
        <v>5</v>
      </c>
      <c r="D86" s="5" t="s">
        <v>5</v>
      </c>
      <c r="E86" s="5" t="s">
        <v>5</v>
      </c>
      <c r="F86" s="5" t="s">
        <v>5</v>
      </c>
      <c r="G86" s="5" t="s">
        <v>9</v>
      </c>
      <c r="H86" s="5" t="str">
        <f aca="false">IF(COUNTIF(C86:G86,"On time")+COUNTIF(C86:G86,"N/A")=5,"Yes","No")</f>
        <v>No</v>
      </c>
    </row>
    <row r="87" customFormat="false" ht="15" hidden="false" customHeight="false" outlineLevel="0" collapsed="false">
      <c r="A87" s="5" t="n">
        <v>1176</v>
      </c>
      <c r="B87" s="5" t="s">
        <v>27</v>
      </c>
      <c r="C87" s="5" t="s">
        <v>5</v>
      </c>
      <c r="D87" s="5" t="s">
        <v>5</v>
      </c>
      <c r="E87" s="5" t="s">
        <v>5</v>
      </c>
      <c r="F87" s="5" t="s">
        <v>10</v>
      </c>
      <c r="G87" s="5" t="s">
        <v>5</v>
      </c>
      <c r="H87" s="5" t="str">
        <f aca="false">IF(COUNTIF(C87:G87,"On time")+COUNTIF(C87:G87,"N/A")=5,"Yes","No")</f>
        <v>No</v>
      </c>
    </row>
    <row r="88" customFormat="false" ht="15" hidden="false" customHeight="false" outlineLevel="0" collapsed="false">
      <c r="A88" s="5" t="n">
        <v>1177</v>
      </c>
      <c r="B88" s="5" t="s">
        <v>25</v>
      </c>
      <c r="C88" s="5" t="s">
        <v>5</v>
      </c>
      <c r="D88" s="5" t="s">
        <v>5</v>
      </c>
      <c r="E88" s="5" t="s">
        <v>5</v>
      </c>
      <c r="F88" s="5" t="s">
        <v>5</v>
      </c>
      <c r="G88" s="5" t="s">
        <v>26</v>
      </c>
      <c r="H88" s="5" t="str">
        <f aca="false">IF(COUNTIF(C88:G88,"On time")+COUNTIF(C88:G88,"N/A")=5,"Yes","No")</f>
        <v>Yes</v>
      </c>
    </row>
    <row r="89" customFormat="false" ht="15" hidden="false" customHeight="false" outlineLevel="0" collapsed="false">
      <c r="A89" s="5" t="n">
        <v>1179</v>
      </c>
      <c r="B89" s="5" t="s">
        <v>25</v>
      </c>
      <c r="C89" s="5" t="s">
        <v>5</v>
      </c>
      <c r="D89" s="5" t="s">
        <v>5</v>
      </c>
      <c r="E89" s="5" t="s">
        <v>5</v>
      </c>
      <c r="F89" s="5" t="s">
        <v>26</v>
      </c>
      <c r="G89" s="5" t="s">
        <v>26</v>
      </c>
      <c r="H89" s="5" t="str">
        <f aca="false">IF(COUNTIF(C89:G89,"On time")+COUNTIF(C89:G89,"N/A")=5,"Yes","No")</f>
        <v>Yes</v>
      </c>
    </row>
    <row r="90" customFormat="false" ht="15" hidden="false" customHeight="false" outlineLevel="0" collapsed="false">
      <c r="A90" s="5" t="n">
        <v>1180</v>
      </c>
      <c r="B90" s="5" t="s">
        <v>28</v>
      </c>
      <c r="C90" s="5" t="s">
        <v>5</v>
      </c>
      <c r="D90" s="5" t="s">
        <v>5</v>
      </c>
      <c r="E90" s="5" t="s">
        <v>5</v>
      </c>
      <c r="F90" s="5" t="s">
        <v>5</v>
      </c>
      <c r="G90" s="5" t="s">
        <v>26</v>
      </c>
      <c r="H90" s="5" t="str">
        <f aca="false">IF(COUNTIF(C90:G90,"On time")+COUNTIF(C90:G90,"N/A")=5,"Yes","No")</f>
        <v>Yes</v>
      </c>
    </row>
    <row r="91" customFormat="false" ht="15" hidden="false" customHeight="false" outlineLevel="0" collapsed="false">
      <c r="A91" s="5" t="n">
        <v>1182</v>
      </c>
      <c r="B91" s="5" t="s">
        <v>27</v>
      </c>
      <c r="C91" s="5" t="s">
        <v>5</v>
      </c>
      <c r="D91" s="5" t="s">
        <v>5</v>
      </c>
      <c r="E91" s="5" t="s">
        <v>5</v>
      </c>
      <c r="F91" s="5" t="s">
        <v>5</v>
      </c>
      <c r="G91" s="5" t="s">
        <v>9</v>
      </c>
      <c r="H91" s="5" t="str">
        <f aca="false">IF(COUNTIF(C91:G91,"On time")+COUNTIF(C91:G91,"N/A")=5,"Yes","No")</f>
        <v>No</v>
      </c>
    </row>
    <row r="92" customFormat="false" ht="15" hidden="false" customHeight="false" outlineLevel="0" collapsed="false">
      <c r="A92" s="5" t="n">
        <v>1187</v>
      </c>
      <c r="B92" s="5" t="s">
        <v>28</v>
      </c>
      <c r="C92" s="5" t="s">
        <v>5</v>
      </c>
      <c r="D92" s="5" t="s">
        <v>5</v>
      </c>
      <c r="E92" s="5" t="s">
        <v>5</v>
      </c>
      <c r="F92" s="5" t="s">
        <v>5</v>
      </c>
      <c r="G92" s="5" t="s">
        <v>26</v>
      </c>
      <c r="H92" s="5" t="str">
        <f aca="false">IF(COUNTIF(C92:G92,"On time")+COUNTIF(C92:G92,"N/A")=5,"Yes","No")</f>
        <v>Yes</v>
      </c>
    </row>
    <row r="93" customFormat="false" ht="15" hidden="false" customHeight="false" outlineLevel="0" collapsed="false">
      <c r="A93" s="5" t="n">
        <v>1188</v>
      </c>
      <c r="B93" s="5" t="s">
        <v>28</v>
      </c>
      <c r="C93" s="5" t="s">
        <v>5</v>
      </c>
      <c r="D93" s="5" t="s">
        <v>5</v>
      </c>
      <c r="E93" s="5" t="s">
        <v>5</v>
      </c>
      <c r="F93" s="5" t="s">
        <v>5</v>
      </c>
      <c r="G93" s="5" t="s">
        <v>5</v>
      </c>
      <c r="H93" s="5" t="str">
        <f aca="false">IF(COUNTIF(C93:G93,"On time")+COUNTIF(C93:G93,"N/A")=5,"Yes","No")</f>
        <v>Yes</v>
      </c>
    </row>
    <row r="94" customFormat="false" ht="15" hidden="false" customHeight="false" outlineLevel="0" collapsed="false">
      <c r="A94" s="5" t="n">
        <v>1190</v>
      </c>
      <c r="B94" s="5" t="s">
        <v>28</v>
      </c>
      <c r="C94" s="5" t="s">
        <v>5</v>
      </c>
      <c r="D94" s="5" t="s">
        <v>5</v>
      </c>
      <c r="E94" s="5" t="s">
        <v>5</v>
      </c>
      <c r="F94" s="5" t="s">
        <v>26</v>
      </c>
      <c r="G94" s="5" t="s">
        <v>5</v>
      </c>
      <c r="H94" s="5" t="str">
        <f aca="false">IF(COUNTIF(C94:G94,"On time")+COUNTIF(C94:G94,"N/A")=5,"Yes","No")</f>
        <v>Yes</v>
      </c>
    </row>
    <row r="95" customFormat="false" ht="15" hidden="false" customHeight="false" outlineLevel="0" collapsed="false">
      <c r="A95" s="5" t="n">
        <v>1192</v>
      </c>
      <c r="B95" s="5" t="s">
        <v>28</v>
      </c>
      <c r="C95" s="5" t="s">
        <v>9</v>
      </c>
      <c r="D95" s="5" t="s">
        <v>10</v>
      </c>
      <c r="E95" s="5" t="s">
        <v>5</v>
      </c>
      <c r="F95" s="5" t="s">
        <v>26</v>
      </c>
      <c r="G95" s="5" t="s">
        <v>26</v>
      </c>
      <c r="H95" s="5" t="str">
        <f aca="false">IF(COUNTIF(C95:G95,"On time")+COUNTIF(C95:G95,"N/A")=5,"Yes","No")</f>
        <v>No</v>
      </c>
    </row>
    <row r="96" customFormat="false" ht="15" hidden="false" customHeight="false" outlineLevel="0" collapsed="false">
      <c r="A96" s="5" t="n">
        <v>1196</v>
      </c>
      <c r="B96" s="5" t="s">
        <v>28</v>
      </c>
      <c r="C96" s="5" t="s">
        <v>5</v>
      </c>
      <c r="D96" s="5" t="s">
        <v>5</v>
      </c>
      <c r="E96" s="5" t="s">
        <v>5</v>
      </c>
      <c r="F96" s="5" t="s">
        <v>26</v>
      </c>
      <c r="G96" s="5" t="s">
        <v>26</v>
      </c>
      <c r="H96" s="5" t="str">
        <f aca="false">IF(COUNTIF(C96:G96,"On time")+COUNTIF(C96:G96,"N/A")=5,"Yes","No")</f>
        <v>Yes</v>
      </c>
    </row>
    <row r="97" customFormat="false" ht="15" hidden="false" customHeight="false" outlineLevel="0" collapsed="false">
      <c r="A97" s="5" t="n">
        <v>1199</v>
      </c>
      <c r="B97" s="5" t="s">
        <v>29</v>
      </c>
      <c r="C97" s="5" t="s">
        <v>5</v>
      </c>
      <c r="D97" s="5" t="s">
        <v>5</v>
      </c>
      <c r="E97" s="5" t="s">
        <v>5</v>
      </c>
      <c r="F97" s="5" t="s">
        <v>5</v>
      </c>
      <c r="G97" s="5" t="s">
        <v>5</v>
      </c>
      <c r="H97" s="5" t="str">
        <f aca="false">IF(COUNTIF(C97:G97,"On time")+COUNTIF(C97:G97,"N/A")=5,"Yes","No")</f>
        <v>Yes</v>
      </c>
    </row>
    <row r="98" customFormat="false" ht="15" hidden="false" customHeight="false" outlineLevel="0" collapsed="false">
      <c r="A98" s="5" t="n">
        <v>1201</v>
      </c>
      <c r="B98" s="5" t="s">
        <v>25</v>
      </c>
      <c r="C98" s="5" t="s">
        <v>5</v>
      </c>
      <c r="D98" s="5" t="s">
        <v>5</v>
      </c>
      <c r="E98" s="5" t="s">
        <v>10</v>
      </c>
      <c r="F98" s="5" t="s">
        <v>9</v>
      </c>
      <c r="G98" s="5" t="s">
        <v>10</v>
      </c>
      <c r="H98" s="5" t="str">
        <f aca="false">IF(COUNTIF(C98:G98,"On time")+COUNTIF(C98:G98,"N/A")=5,"Yes","No")</f>
        <v>No</v>
      </c>
    </row>
    <row r="99" customFormat="false" ht="15" hidden="false" customHeight="false" outlineLevel="0" collapsed="false">
      <c r="A99" s="5" t="n">
        <v>1202</v>
      </c>
      <c r="B99" s="5" t="s">
        <v>29</v>
      </c>
      <c r="C99" s="5" t="s">
        <v>5</v>
      </c>
      <c r="D99" s="5" t="s">
        <v>5</v>
      </c>
      <c r="E99" s="5" t="s">
        <v>5</v>
      </c>
      <c r="F99" s="5" t="s">
        <v>26</v>
      </c>
      <c r="G99" s="5" t="s">
        <v>26</v>
      </c>
      <c r="H99" s="5" t="str">
        <f aca="false">IF(COUNTIF(C99:G99,"On time")+COUNTIF(C99:G99,"N/A")=5,"Yes","No")</f>
        <v>Yes</v>
      </c>
    </row>
    <row r="100" customFormat="false" ht="15" hidden="false" customHeight="false" outlineLevel="0" collapsed="false">
      <c r="A100" s="5" t="n">
        <v>1203</v>
      </c>
      <c r="B100" s="5" t="s">
        <v>27</v>
      </c>
      <c r="C100" s="5" t="s">
        <v>5</v>
      </c>
      <c r="D100" s="5" t="s">
        <v>5</v>
      </c>
      <c r="E100" s="5" t="s">
        <v>5</v>
      </c>
      <c r="F100" s="5" t="s">
        <v>26</v>
      </c>
      <c r="G100" s="5" t="s">
        <v>26</v>
      </c>
      <c r="H100" s="5" t="str">
        <f aca="false">IF(COUNTIF(C100:G100,"On time")+COUNTIF(C100:G100,"N/A")=5,"Yes","No")</f>
        <v>Yes</v>
      </c>
    </row>
    <row r="101" customFormat="false" ht="15" hidden="false" customHeight="false" outlineLevel="0" collapsed="false">
      <c r="A101" s="5" t="n">
        <v>1204</v>
      </c>
      <c r="B101" s="5" t="s">
        <v>25</v>
      </c>
      <c r="C101" s="5" t="s">
        <v>5</v>
      </c>
      <c r="D101" s="5" t="s">
        <v>5</v>
      </c>
      <c r="E101" s="5" t="s">
        <v>5</v>
      </c>
      <c r="F101" s="5" t="s">
        <v>5</v>
      </c>
      <c r="G101" s="5" t="s">
        <v>5</v>
      </c>
      <c r="H101" s="5" t="str">
        <f aca="false">IF(COUNTIF(C101:G101,"On time")+COUNTIF(C101:G101,"N/A")=5,"Yes","No")</f>
        <v>Yes</v>
      </c>
    </row>
    <row r="102" customFormat="false" ht="15" hidden="false" customHeight="false" outlineLevel="0" collapsed="false">
      <c r="A102" s="5" t="n">
        <v>1205</v>
      </c>
      <c r="B102" s="5" t="s">
        <v>28</v>
      </c>
      <c r="C102" s="5" t="s">
        <v>5</v>
      </c>
      <c r="D102" s="5" t="s">
        <v>5</v>
      </c>
      <c r="E102" s="5" t="s">
        <v>5</v>
      </c>
      <c r="F102" s="5" t="s">
        <v>9</v>
      </c>
      <c r="G102" s="5" t="s">
        <v>26</v>
      </c>
      <c r="H102" s="5" t="str">
        <f aca="false">IF(COUNTIF(C102:G102,"On time")+COUNTIF(C102:G102,"N/A")=5,"Yes","No")</f>
        <v>No</v>
      </c>
    </row>
    <row r="103" customFormat="false" ht="15" hidden="false" customHeight="false" outlineLevel="0" collapsed="false">
      <c r="A103" s="5" t="n">
        <v>1211</v>
      </c>
      <c r="B103" s="5" t="s">
        <v>29</v>
      </c>
      <c r="C103" s="5" t="s">
        <v>5</v>
      </c>
      <c r="D103" s="5" t="s">
        <v>5</v>
      </c>
      <c r="E103" s="5" t="s">
        <v>5</v>
      </c>
      <c r="F103" s="5" t="s">
        <v>26</v>
      </c>
      <c r="G103" s="5" t="s">
        <v>26</v>
      </c>
      <c r="H103" s="5" t="str">
        <f aca="false">IF(COUNTIF(C103:G103,"On time")+COUNTIF(C103:G103,"N/A")=5,"Yes","No")</f>
        <v>Yes</v>
      </c>
    </row>
    <row r="104" customFormat="false" ht="15" hidden="false" customHeight="false" outlineLevel="0" collapsed="false">
      <c r="A104" s="5" t="n">
        <v>1212</v>
      </c>
      <c r="B104" s="5" t="s">
        <v>29</v>
      </c>
      <c r="C104" s="5" t="s">
        <v>5</v>
      </c>
      <c r="D104" s="5" t="s">
        <v>11</v>
      </c>
      <c r="E104" s="5" t="s">
        <v>5</v>
      </c>
      <c r="F104" s="5" t="s">
        <v>5</v>
      </c>
      <c r="G104" s="5" t="s">
        <v>26</v>
      </c>
      <c r="H104" s="5" t="str">
        <f aca="false">IF(COUNTIF(C104:G104,"On time")+COUNTIF(C104:G104,"N/A")=5,"Yes","No")</f>
        <v>No</v>
      </c>
    </row>
    <row r="105" customFormat="false" ht="15" hidden="false" customHeight="false" outlineLevel="0" collapsed="false">
      <c r="A105" s="5" t="n">
        <v>1216</v>
      </c>
      <c r="B105" s="5" t="s">
        <v>29</v>
      </c>
      <c r="C105" s="5" t="s">
        <v>5</v>
      </c>
      <c r="D105" s="5" t="s">
        <v>5</v>
      </c>
      <c r="E105" s="5" t="s">
        <v>5</v>
      </c>
      <c r="F105" s="5" t="s">
        <v>9</v>
      </c>
      <c r="G105" s="5" t="s">
        <v>5</v>
      </c>
      <c r="H105" s="5" t="str">
        <f aca="false">IF(COUNTIF(C105:G105,"On time")+COUNTIF(C105:G105,"N/A")=5,"Yes","No")</f>
        <v>No</v>
      </c>
    </row>
    <row r="106" customFormat="false" ht="15" hidden="false" customHeight="false" outlineLevel="0" collapsed="false">
      <c r="A106" s="5" t="n">
        <v>1218</v>
      </c>
      <c r="B106" s="5" t="s">
        <v>25</v>
      </c>
      <c r="C106" s="5" t="s">
        <v>5</v>
      </c>
      <c r="D106" s="5" t="s">
        <v>5</v>
      </c>
      <c r="E106" s="5" t="s">
        <v>5</v>
      </c>
      <c r="F106" s="5" t="s">
        <v>26</v>
      </c>
      <c r="G106" s="5" t="s">
        <v>10</v>
      </c>
      <c r="H106" s="5" t="str">
        <f aca="false">IF(COUNTIF(C106:G106,"On time")+COUNTIF(C106:G106,"N/A")=5,"Yes","No")</f>
        <v>No</v>
      </c>
    </row>
    <row r="107" customFormat="false" ht="15" hidden="false" customHeight="false" outlineLevel="0" collapsed="false">
      <c r="A107" s="5" t="n">
        <v>1219</v>
      </c>
      <c r="B107" s="5" t="s">
        <v>25</v>
      </c>
      <c r="C107" s="5" t="s">
        <v>5</v>
      </c>
      <c r="D107" s="5" t="s">
        <v>5</v>
      </c>
      <c r="E107" s="5" t="s">
        <v>5</v>
      </c>
      <c r="F107" s="5" t="s">
        <v>5</v>
      </c>
      <c r="G107" s="5" t="s">
        <v>26</v>
      </c>
      <c r="H107" s="5" t="str">
        <f aca="false">IF(COUNTIF(C107:G107,"On time")+COUNTIF(C107:G107,"N/A")=5,"Yes","No")</f>
        <v>Yes</v>
      </c>
    </row>
    <row r="108" customFormat="false" ht="15" hidden="false" customHeight="false" outlineLevel="0" collapsed="false">
      <c r="A108" s="5" t="n">
        <v>1221</v>
      </c>
      <c r="B108" s="5" t="s">
        <v>27</v>
      </c>
      <c r="C108" s="5" t="s">
        <v>5</v>
      </c>
      <c r="D108" s="5" t="s">
        <v>5</v>
      </c>
      <c r="E108" s="5" t="s">
        <v>5</v>
      </c>
      <c r="F108" s="5" t="s">
        <v>5</v>
      </c>
      <c r="G108" s="5" t="s">
        <v>10</v>
      </c>
      <c r="H108" s="5" t="str">
        <f aca="false">IF(COUNTIF(C108:G108,"On time")+COUNTIF(C108:G108,"N/A")=5,"Yes","No")</f>
        <v>No</v>
      </c>
    </row>
    <row r="109" customFormat="false" ht="15" hidden="false" customHeight="false" outlineLevel="0" collapsed="false">
      <c r="A109" s="5" t="n">
        <v>1222</v>
      </c>
      <c r="B109" s="5" t="s">
        <v>25</v>
      </c>
      <c r="C109" s="5" t="s">
        <v>5</v>
      </c>
      <c r="D109" s="5" t="s">
        <v>5</v>
      </c>
      <c r="E109" s="5" t="s">
        <v>5</v>
      </c>
      <c r="F109" s="5" t="s">
        <v>26</v>
      </c>
      <c r="G109" s="5" t="s">
        <v>26</v>
      </c>
      <c r="H109" s="5" t="str">
        <f aca="false">IF(COUNTIF(C109:G109,"On time")+COUNTIF(C109:G109,"N/A")=5,"Yes","No")</f>
        <v>Yes</v>
      </c>
    </row>
    <row r="110" customFormat="false" ht="15" hidden="false" customHeight="false" outlineLevel="0" collapsed="false">
      <c r="A110" s="5" t="n">
        <v>1223</v>
      </c>
      <c r="B110" s="5" t="s">
        <v>27</v>
      </c>
      <c r="C110" s="5" t="s">
        <v>5</v>
      </c>
      <c r="D110" s="5" t="s">
        <v>5</v>
      </c>
      <c r="E110" s="5" t="s">
        <v>5</v>
      </c>
      <c r="F110" s="5" t="s">
        <v>10</v>
      </c>
      <c r="G110" s="5" t="s">
        <v>5</v>
      </c>
      <c r="H110" s="5" t="str">
        <f aca="false">IF(COUNTIF(C110:G110,"On time")+COUNTIF(C110:G110,"N/A")=5,"Yes","No")</f>
        <v>No</v>
      </c>
    </row>
    <row r="111" customFormat="false" ht="15" hidden="false" customHeight="false" outlineLevel="0" collapsed="false">
      <c r="A111" s="5" t="n">
        <v>1224</v>
      </c>
      <c r="B111" s="5" t="s">
        <v>25</v>
      </c>
      <c r="C111" s="5" t="s">
        <v>5</v>
      </c>
      <c r="D111" s="5" t="s">
        <v>5</v>
      </c>
      <c r="E111" s="5" t="s">
        <v>5</v>
      </c>
      <c r="F111" s="5" t="s">
        <v>26</v>
      </c>
      <c r="G111" s="5" t="s">
        <v>5</v>
      </c>
      <c r="H111" s="5" t="str">
        <f aca="false">IF(COUNTIF(C111:G111,"On time")+COUNTIF(C111:G111,"N/A")=5,"Yes","No")</f>
        <v>Yes</v>
      </c>
    </row>
    <row r="112" customFormat="false" ht="15" hidden="false" customHeight="false" outlineLevel="0" collapsed="false">
      <c r="A112" s="5" t="n">
        <v>1227</v>
      </c>
      <c r="B112" s="5" t="s">
        <v>29</v>
      </c>
      <c r="C112" s="5" t="s">
        <v>5</v>
      </c>
      <c r="D112" s="5" t="s">
        <v>5</v>
      </c>
      <c r="E112" s="5" t="s">
        <v>9</v>
      </c>
      <c r="F112" s="5" t="s">
        <v>26</v>
      </c>
      <c r="G112" s="5" t="s">
        <v>9</v>
      </c>
      <c r="H112" s="5" t="str">
        <f aca="false">IF(COUNTIF(C112:G112,"On time")+COUNTIF(C112:G112,"N/A")=5,"Yes","No")</f>
        <v>No</v>
      </c>
    </row>
    <row r="113" customFormat="false" ht="15" hidden="false" customHeight="false" outlineLevel="0" collapsed="false">
      <c r="A113" s="5" t="n">
        <v>1228</v>
      </c>
      <c r="B113" s="5" t="s">
        <v>28</v>
      </c>
      <c r="C113" s="5" t="s">
        <v>5</v>
      </c>
      <c r="D113" s="5" t="s">
        <v>5</v>
      </c>
      <c r="E113" s="5" t="s">
        <v>5</v>
      </c>
      <c r="F113" s="5" t="s">
        <v>26</v>
      </c>
      <c r="G113" s="5" t="s">
        <v>9</v>
      </c>
      <c r="H113" s="5" t="str">
        <f aca="false">IF(COUNTIF(C113:G113,"On time")+COUNTIF(C113:G113,"N/A")=5,"Yes","No")</f>
        <v>No</v>
      </c>
    </row>
    <row r="114" customFormat="false" ht="15" hidden="false" customHeight="false" outlineLevel="0" collapsed="false">
      <c r="A114" s="5" t="n">
        <v>1235</v>
      </c>
      <c r="B114" s="5" t="s">
        <v>27</v>
      </c>
      <c r="C114" s="5" t="s">
        <v>5</v>
      </c>
      <c r="D114" s="5" t="s">
        <v>5</v>
      </c>
      <c r="E114" s="5" t="s">
        <v>5</v>
      </c>
      <c r="F114" s="5" t="s">
        <v>9</v>
      </c>
      <c r="G114" s="5" t="s">
        <v>26</v>
      </c>
      <c r="H114" s="5" t="str">
        <f aca="false">IF(COUNTIF(C114:G114,"On time")+COUNTIF(C114:G114,"N/A")=5,"Yes","No")</f>
        <v>No</v>
      </c>
    </row>
    <row r="115" customFormat="false" ht="15" hidden="false" customHeight="false" outlineLevel="0" collapsed="false">
      <c r="A115" s="5" t="n">
        <v>1236</v>
      </c>
      <c r="B115" s="5" t="s">
        <v>28</v>
      </c>
      <c r="C115" s="5" t="s">
        <v>5</v>
      </c>
      <c r="D115" s="5" t="s">
        <v>5</v>
      </c>
      <c r="E115" s="5" t="s">
        <v>5</v>
      </c>
      <c r="F115" s="5" t="s">
        <v>5</v>
      </c>
      <c r="G115" s="5" t="s">
        <v>5</v>
      </c>
      <c r="H115" s="5" t="str">
        <f aca="false">IF(COUNTIF(C115:G115,"On time")+COUNTIF(C115:G115,"N/A")=5,"Yes","No")</f>
        <v>Yes</v>
      </c>
    </row>
    <row r="116" customFormat="false" ht="15" hidden="false" customHeight="false" outlineLevel="0" collapsed="false">
      <c r="A116" s="5" t="n">
        <v>1238</v>
      </c>
      <c r="B116" s="5" t="s">
        <v>29</v>
      </c>
      <c r="C116" s="5" t="s">
        <v>5</v>
      </c>
      <c r="D116" s="5" t="s">
        <v>5</v>
      </c>
      <c r="E116" s="5" t="s">
        <v>5</v>
      </c>
      <c r="F116" s="5" t="s">
        <v>26</v>
      </c>
      <c r="G116" s="5" t="s">
        <v>26</v>
      </c>
      <c r="H116" s="5" t="str">
        <f aca="false">IF(COUNTIF(C116:G116,"On time")+COUNTIF(C116:G116,"N/A")=5,"Yes","No")</f>
        <v>Yes</v>
      </c>
    </row>
    <row r="117" customFormat="false" ht="15" hidden="false" customHeight="false" outlineLevel="0" collapsed="false">
      <c r="A117" s="5" t="n">
        <v>1240</v>
      </c>
      <c r="B117" s="5" t="s">
        <v>28</v>
      </c>
      <c r="C117" s="5" t="s">
        <v>5</v>
      </c>
      <c r="D117" s="5" t="s">
        <v>5</v>
      </c>
      <c r="E117" s="5" t="s">
        <v>5</v>
      </c>
      <c r="F117" s="5" t="s">
        <v>5</v>
      </c>
      <c r="G117" s="5" t="s">
        <v>5</v>
      </c>
      <c r="H117" s="5" t="str">
        <f aca="false">IF(COUNTIF(C117:G117,"On time")+COUNTIF(C117:G117,"N/A")=5,"Yes","No")</f>
        <v>Yes</v>
      </c>
    </row>
    <row r="118" customFormat="false" ht="15" hidden="false" customHeight="false" outlineLevel="0" collapsed="false">
      <c r="A118" s="5" t="n">
        <v>1249</v>
      </c>
      <c r="B118" s="5" t="s">
        <v>29</v>
      </c>
      <c r="C118" s="5" t="s">
        <v>5</v>
      </c>
      <c r="D118" s="5" t="s">
        <v>5</v>
      </c>
      <c r="E118" s="5" t="s">
        <v>5</v>
      </c>
      <c r="F118" s="5" t="s">
        <v>10</v>
      </c>
      <c r="G118" s="5" t="s">
        <v>5</v>
      </c>
      <c r="H118" s="5" t="str">
        <f aca="false">IF(COUNTIF(C118:G118,"On time")+COUNTIF(C118:G118,"N/A")=5,"Yes","No")</f>
        <v>No</v>
      </c>
    </row>
    <row r="119" customFormat="false" ht="15" hidden="false" customHeight="false" outlineLevel="0" collapsed="false">
      <c r="A119" s="5" t="n">
        <v>1251</v>
      </c>
      <c r="B119" s="5" t="s">
        <v>25</v>
      </c>
      <c r="C119" s="5" t="s">
        <v>5</v>
      </c>
      <c r="D119" s="5" t="s">
        <v>5</v>
      </c>
      <c r="E119" s="5" t="s">
        <v>5</v>
      </c>
      <c r="F119" s="5" t="s">
        <v>5</v>
      </c>
      <c r="G119" s="5" t="s">
        <v>5</v>
      </c>
      <c r="H119" s="5" t="str">
        <f aca="false">IF(COUNTIF(C119:G119,"On time")+COUNTIF(C119:G119,"N/A")=5,"Yes","No")</f>
        <v>Yes</v>
      </c>
    </row>
    <row r="120" customFormat="false" ht="15" hidden="false" customHeight="false" outlineLevel="0" collapsed="false">
      <c r="A120" s="5" t="n">
        <v>1252</v>
      </c>
      <c r="B120" s="5" t="s">
        <v>28</v>
      </c>
      <c r="C120" s="5" t="s">
        <v>5</v>
      </c>
      <c r="D120" s="5" t="s">
        <v>5</v>
      </c>
      <c r="E120" s="5" t="s">
        <v>5</v>
      </c>
      <c r="F120" s="5" t="s">
        <v>26</v>
      </c>
      <c r="G120" s="5" t="s">
        <v>26</v>
      </c>
      <c r="H120" s="5" t="str">
        <f aca="false">IF(COUNTIF(C120:G120,"On time")+COUNTIF(C120:G120,"N/A")=5,"Yes","No")</f>
        <v>Yes</v>
      </c>
    </row>
    <row r="121" customFormat="false" ht="15" hidden="false" customHeight="false" outlineLevel="0" collapsed="false">
      <c r="A121" s="5" t="n">
        <v>1256</v>
      </c>
      <c r="B121" s="5" t="s">
        <v>28</v>
      </c>
      <c r="C121" s="5" t="s">
        <v>5</v>
      </c>
      <c r="D121" s="5" t="s">
        <v>5</v>
      </c>
      <c r="E121" s="5" t="s">
        <v>5</v>
      </c>
      <c r="F121" s="5" t="s">
        <v>26</v>
      </c>
      <c r="G121" s="5" t="s">
        <v>26</v>
      </c>
      <c r="H121" s="5" t="str">
        <f aca="false">IF(COUNTIF(C121:G121,"On time")+COUNTIF(C121:G121,"N/A")=5,"Yes","No")</f>
        <v>Yes</v>
      </c>
    </row>
    <row r="122" customFormat="false" ht="15" hidden="false" customHeight="false" outlineLevel="0" collapsed="false">
      <c r="A122" s="5" t="n">
        <v>1258</v>
      </c>
      <c r="B122" s="5" t="s">
        <v>29</v>
      </c>
      <c r="C122" s="5" t="s">
        <v>5</v>
      </c>
      <c r="D122" s="5" t="s">
        <v>5</v>
      </c>
      <c r="E122" s="5" t="s">
        <v>9</v>
      </c>
      <c r="F122" s="5" t="s">
        <v>26</v>
      </c>
      <c r="G122" s="5" t="s">
        <v>26</v>
      </c>
      <c r="H122" s="5" t="str">
        <f aca="false">IF(COUNTIF(C122:G122,"On time")+COUNTIF(C122:G122,"N/A")=5,"Yes","No")</f>
        <v>No</v>
      </c>
    </row>
    <row r="123" customFormat="false" ht="15" hidden="false" customHeight="false" outlineLevel="0" collapsed="false">
      <c r="A123" s="5" t="n">
        <v>1259</v>
      </c>
      <c r="B123" s="5" t="s">
        <v>29</v>
      </c>
      <c r="C123" s="5" t="s">
        <v>5</v>
      </c>
      <c r="D123" s="5" t="s">
        <v>5</v>
      </c>
      <c r="E123" s="5" t="s">
        <v>5</v>
      </c>
      <c r="F123" s="5" t="s">
        <v>26</v>
      </c>
      <c r="G123" s="5" t="s">
        <v>5</v>
      </c>
      <c r="H123" s="5" t="str">
        <f aca="false">IF(COUNTIF(C123:G123,"On time")+COUNTIF(C123:G123,"N/A")=5,"Yes","No")</f>
        <v>Yes</v>
      </c>
    </row>
    <row r="124" customFormat="false" ht="15" hidden="false" customHeight="false" outlineLevel="0" collapsed="false">
      <c r="A124" s="5" t="n">
        <v>1261</v>
      </c>
      <c r="B124" s="5" t="s">
        <v>27</v>
      </c>
      <c r="C124" s="5" t="s">
        <v>5</v>
      </c>
      <c r="D124" s="5" t="s">
        <v>5</v>
      </c>
      <c r="E124" s="5" t="s">
        <v>5</v>
      </c>
      <c r="F124" s="5" t="s">
        <v>5</v>
      </c>
      <c r="G124" s="5" t="s">
        <v>5</v>
      </c>
      <c r="H124" s="5" t="str">
        <f aca="false">IF(COUNTIF(C124:G124,"On time")+COUNTIF(C124:G124,"N/A")=5,"Yes","No")</f>
        <v>Yes</v>
      </c>
    </row>
    <row r="125" customFormat="false" ht="15" hidden="false" customHeight="false" outlineLevel="0" collapsed="false">
      <c r="A125" s="5" t="n">
        <v>1266</v>
      </c>
      <c r="B125" s="5" t="s">
        <v>25</v>
      </c>
      <c r="C125" s="5" t="s">
        <v>5</v>
      </c>
      <c r="D125" s="5" t="s">
        <v>5</v>
      </c>
      <c r="E125" s="5" t="s">
        <v>5</v>
      </c>
      <c r="F125" s="5" t="s">
        <v>5</v>
      </c>
      <c r="G125" s="5" t="s">
        <v>9</v>
      </c>
      <c r="H125" s="5" t="str">
        <f aca="false">IF(COUNTIF(C125:G125,"On time")+COUNTIF(C125:G125,"N/A")=5,"Yes","No")</f>
        <v>No</v>
      </c>
    </row>
    <row r="126" customFormat="false" ht="15" hidden="false" customHeight="false" outlineLevel="0" collapsed="false">
      <c r="A126" s="5" t="n">
        <v>1267</v>
      </c>
      <c r="B126" s="5" t="s">
        <v>25</v>
      </c>
      <c r="C126" s="5" t="s">
        <v>5</v>
      </c>
      <c r="D126" s="5" t="s">
        <v>5</v>
      </c>
      <c r="E126" s="5" t="s">
        <v>5</v>
      </c>
      <c r="F126" s="5" t="s">
        <v>5</v>
      </c>
      <c r="G126" s="5" t="s">
        <v>26</v>
      </c>
      <c r="H126" s="5" t="str">
        <f aca="false">IF(COUNTIF(C126:G126,"On time")+COUNTIF(C126:G126,"N/A")=5,"Yes","No")</f>
        <v>Yes</v>
      </c>
    </row>
    <row r="127" customFormat="false" ht="15" hidden="false" customHeight="false" outlineLevel="0" collapsed="false">
      <c r="A127" s="5" t="n">
        <v>1270</v>
      </c>
      <c r="B127" s="5" t="s">
        <v>28</v>
      </c>
      <c r="C127" s="5" t="s">
        <v>5</v>
      </c>
      <c r="D127" s="5" t="s">
        <v>5</v>
      </c>
      <c r="E127" s="5" t="s">
        <v>5</v>
      </c>
      <c r="F127" s="5" t="s">
        <v>5</v>
      </c>
      <c r="G127" s="5" t="s">
        <v>5</v>
      </c>
      <c r="H127" s="5" t="str">
        <f aca="false">IF(COUNTIF(C127:G127,"On time")+COUNTIF(C127:G127,"N/A")=5,"Yes","No")</f>
        <v>Yes</v>
      </c>
    </row>
    <row r="128" customFormat="false" ht="15" hidden="false" customHeight="false" outlineLevel="0" collapsed="false">
      <c r="A128" s="5" t="n">
        <v>1272</v>
      </c>
      <c r="B128" s="5" t="s">
        <v>28</v>
      </c>
      <c r="C128" s="5" t="s">
        <v>9</v>
      </c>
      <c r="D128" s="5" t="s">
        <v>5</v>
      </c>
      <c r="E128" s="5" t="s">
        <v>5</v>
      </c>
      <c r="F128" s="5" t="s">
        <v>26</v>
      </c>
      <c r="G128" s="5" t="s">
        <v>26</v>
      </c>
      <c r="H128" s="5" t="str">
        <f aca="false">IF(COUNTIF(C128:G128,"On time")+COUNTIF(C128:G128,"N/A")=5,"Yes","No")</f>
        <v>No</v>
      </c>
    </row>
    <row r="129" customFormat="false" ht="15" hidden="false" customHeight="false" outlineLevel="0" collapsed="false">
      <c r="A129" s="5" t="n">
        <v>1273</v>
      </c>
      <c r="B129" s="5" t="s">
        <v>27</v>
      </c>
      <c r="C129" s="5" t="s">
        <v>5</v>
      </c>
      <c r="D129" s="5" t="s">
        <v>5</v>
      </c>
      <c r="E129" s="5" t="s">
        <v>5</v>
      </c>
      <c r="F129" s="5" t="s">
        <v>5</v>
      </c>
      <c r="G129" s="5" t="s">
        <v>5</v>
      </c>
      <c r="H129" s="5" t="str">
        <f aca="false">IF(COUNTIF(C129:G129,"On time")+COUNTIF(C129:G129,"N/A")=5,"Yes","No")</f>
        <v>Yes</v>
      </c>
    </row>
    <row r="130" customFormat="false" ht="15" hidden="false" customHeight="false" outlineLevel="0" collapsed="false">
      <c r="A130" s="5" t="n">
        <v>1275</v>
      </c>
      <c r="B130" s="5" t="s">
        <v>29</v>
      </c>
      <c r="C130" s="5" t="s">
        <v>5</v>
      </c>
      <c r="D130" s="5" t="s">
        <v>10</v>
      </c>
      <c r="E130" s="5" t="s">
        <v>5</v>
      </c>
      <c r="F130" s="5" t="s">
        <v>5</v>
      </c>
      <c r="G130" s="5" t="s">
        <v>5</v>
      </c>
      <c r="H130" s="5" t="str">
        <f aca="false">IF(COUNTIF(C130:G130,"On time")+COUNTIF(C130:G130,"N/A")=5,"Yes","No")</f>
        <v>No</v>
      </c>
    </row>
    <row r="131" customFormat="false" ht="15" hidden="false" customHeight="false" outlineLevel="0" collapsed="false">
      <c r="A131" s="5" t="n">
        <v>1276</v>
      </c>
      <c r="B131" s="5" t="s">
        <v>25</v>
      </c>
      <c r="C131" s="5" t="s">
        <v>5</v>
      </c>
      <c r="D131" s="5" t="s">
        <v>5</v>
      </c>
      <c r="E131" s="5" t="s">
        <v>5</v>
      </c>
      <c r="F131" s="5" t="s">
        <v>26</v>
      </c>
      <c r="G131" s="5" t="s">
        <v>26</v>
      </c>
      <c r="H131" s="5" t="str">
        <f aca="false">IF(COUNTIF(C131:G131,"On time")+COUNTIF(C131:G131,"N/A")=5,"Yes","No")</f>
        <v>Yes</v>
      </c>
    </row>
    <row r="132" customFormat="false" ht="15" hidden="false" customHeight="false" outlineLevel="0" collapsed="false">
      <c r="A132" s="5" t="n">
        <v>1279</v>
      </c>
      <c r="B132" s="5" t="s">
        <v>28</v>
      </c>
      <c r="C132" s="5" t="s">
        <v>5</v>
      </c>
      <c r="D132" s="5" t="s">
        <v>5</v>
      </c>
      <c r="E132" s="5" t="s">
        <v>5</v>
      </c>
      <c r="F132" s="5" t="s">
        <v>9</v>
      </c>
      <c r="G132" s="5" t="s">
        <v>10</v>
      </c>
      <c r="H132" s="5" t="str">
        <f aca="false">IF(COUNTIF(C132:G132,"On time")+COUNTIF(C132:G132,"N/A")=5,"Yes","No")</f>
        <v>No</v>
      </c>
    </row>
    <row r="133" customFormat="false" ht="15" hidden="false" customHeight="false" outlineLevel="0" collapsed="false">
      <c r="A133" s="5" t="n">
        <v>1280</v>
      </c>
      <c r="B133" s="5" t="s">
        <v>28</v>
      </c>
      <c r="C133" s="5" t="s">
        <v>5</v>
      </c>
      <c r="D133" s="5" t="s">
        <v>5</v>
      </c>
      <c r="E133" s="5" t="s">
        <v>5</v>
      </c>
      <c r="F133" s="5" t="s">
        <v>5</v>
      </c>
      <c r="G133" s="5" t="s">
        <v>5</v>
      </c>
      <c r="H133" s="5" t="str">
        <f aca="false">IF(COUNTIF(C133:G133,"On time")+COUNTIF(C133:G133,"N/A")=5,"Yes","No")</f>
        <v>Yes</v>
      </c>
    </row>
    <row r="134" customFormat="false" ht="15" hidden="false" customHeight="false" outlineLevel="0" collapsed="false">
      <c r="A134" s="5" t="n">
        <v>1281</v>
      </c>
      <c r="B134" s="5" t="s">
        <v>29</v>
      </c>
      <c r="C134" s="5" t="s">
        <v>5</v>
      </c>
      <c r="D134" s="5" t="s">
        <v>5</v>
      </c>
      <c r="E134" s="5" t="s">
        <v>5</v>
      </c>
      <c r="F134" s="5" t="s">
        <v>5</v>
      </c>
      <c r="G134" s="5" t="s">
        <v>5</v>
      </c>
      <c r="H134" s="5" t="str">
        <f aca="false">IF(COUNTIF(C134:G134,"On time")+COUNTIF(C134:G134,"N/A")=5,"Yes","No")</f>
        <v>Yes</v>
      </c>
    </row>
    <row r="135" customFormat="false" ht="15" hidden="false" customHeight="false" outlineLevel="0" collapsed="false">
      <c r="A135" s="5" t="n">
        <v>1283</v>
      </c>
      <c r="B135" s="5" t="s">
        <v>29</v>
      </c>
      <c r="C135" s="5" t="s">
        <v>5</v>
      </c>
      <c r="D135" s="5" t="s">
        <v>5</v>
      </c>
      <c r="E135" s="5" t="s">
        <v>9</v>
      </c>
      <c r="F135" s="5" t="s">
        <v>5</v>
      </c>
      <c r="G135" s="5" t="s">
        <v>26</v>
      </c>
      <c r="H135" s="5" t="str">
        <f aca="false">IF(COUNTIF(C135:G135,"On time")+COUNTIF(C135:G135,"N/A")=5,"Yes","No")</f>
        <v>No</v>
      </c>
    </row>
    <row r="136" customFormat="false" ht="15" hidden="false" customHeight="false" outlineLevel="0" collapsed="false">
      <c r="A136" s="5" t="n">
        <v>1284</v>
      </c>
      <c r="B136" s="5" t="s">
        <v>25</v>
      </c>
      <c r="C136" s="5" t="s">
        <v>5</v>
      </c>
      <c r="D136" s="5" t="s">
        <v>5</v>
      </c>
      <c r="E136" s="5" t="s">
        <v>5</v>
      </c>
      <c r="F136" s="5" t="s">
        <v>26</v>
      </c>
      <c r="G136" s="5" t="s">
        <v>26</v>
      </c>
      <c r="H136" s="5" t="str">
        <f aca="false">IF(COUNTIF(C136:G136,"On time")+COUNTIF(C136:G136,"N/A")=5,"Yes","No")</f>
        <v>Yes</v>
      </c>
    </row>
    <row r="137" customFormat="false" ht="15" hidden="false" customHeight="false" outlineLevel="0" collapsed="false">
      <c r="A137" s="5" t="n">
        <v>1286</v>
      </c>
      <c r="B137" s="5" t="s">
        <v>28</v>
      </c>
      <c r="C137" s="5" t="s">
        <v>5</v>
      </c>
      <c r="D137" s="5" t="s">
        <v>5</v>
      </c>
      <c r="E137" s="5" t="s">
        <v>9</v>
      </c>
      <c r="F137" s="5" t="s">
        <v>26</v>
      </c>
      <c r="G137" s="5" t="s">
        <v>26</v>
      </c>
      <c r="H137" s="5" t="str">
        <f aca="false">IF(COUNTIF(C137:G137,"On time")+COUNTIF(C137:G137,"N/A")=5,"Yes","No")</f>
        <v>No</v>
      </c>
    </row>
    <row r="138" customFormat="false" ht="15" hidden="false" customHeight="false" outlineLevel="0" collapsed="false">
      <c r="A138" s="5" t="n">
        <v>1288</v>
      </c>
      <c r="B138" s="5" t="s">
        <v>29</v>
      </c>
      <c r="C138" s="5" t="s">
        <v>5</v>
      </c>
      <c r="D138" s="5" t="s">
        <v>11</v>
      </c>
      <c r="E138" s="5" t="s">
        <v>5</v>
      </c>
      <c r="F138" s="5" t="s">
        <v>26</v>
      </c>
      <c r="G138" s="5" t="s">
        <v>26</v>
      </c>
      <c r="H138" s="5" t="str">
        <f aca="false">IF(COUNTIF(C138:G138,"On time")+COUNTIF(C138:G138,"N/A")=5,"Yes","No")</f>
        <v>No</v>
      </c>
    </row>
    <row r="139" customFormat="false" ht="15" hidden="false" customHeight="false" outlineLevel="0" collapsed="false">
      <c r="A139" s="5" t="n">
        <v>1292</v>
      </c>
      <c r="B139" s="5" t="s">
        <v>29</v>
      </c>
      <c r="C139" s="5" t="s">
        <v>5</v>
      </c>
      <c r="D139" s="5" t="s">
        <v>5</v>
      </c>
      <c r="E139" s="5" t="s">
        <v>5</v>
      </c>
      <c r="F139" s="5" t="s">
        <v>26</v>
      </c>
      <c r="G139" s="5" t="s">
        <v>5</v>
      </c>
      <c r="H139" s="5" t="str">
        <f aca="false">IF(COUNTIF(C139:G139,"On time")+COUNTIF(C139:G139,"N/A")=5,"Yes","No")</f>
        <v>Yes</v>
      </c>
    </row>
    <row r="140" customFormat="false" ht="15" hidden="false" customHeight="false" outlineLevel="0" collapsed="false">
      <c r="A140" s="5" t="n">
        <v>1293</v>
      </c>
      <c r="B140" s="5" t="s">
        <v>28</v>
      </c>
      <c r="C140" s="5" t="s">
        <v>5</v>
      </c>
      <c r="D140" s="5" t="s">
        <v>5</v>
      </c>
      <c r="E140" s="5" t="s">
        <v>5</v>
      </c>
      <c r="F140" s="5" t="s">
        <v>5</v>
      </c>
      <c r="G140" s="5" t="s">
        <v>10</v>
      </c>
      <c r="H140" s="5" t="str">
        <f aca="false">IF(COUNTIF(C140:G140,"On time")+COUNTIF(C140:G140,"N/A")=5,"Yes","No")</f>
        <v>No</v>
      </c>
    </row>
    <row r="141" customFormat="false" ht="15" hidden="false" customHeight="false" outlineLevel="0" collapsed="false">
      <c r="A141" s="5" t="n">
        <v>1300</v>
      </c>
      <c r="B141" s="5" t="s">
        <v>28</v>
      </c>
      <c r="C141" s="5" t="s">
        <v>5</v>
      </c>
      <c r="D141" s="5" t="s">
        <v>5</v>
      </c>
      <c r="E141" s="5" t="s">
        <v>5</v>
      </c>
      <c r="F141" s="5" t="s">
        <v>26</v>
      </c>
      <c r="G141" s="5" t="s">
        <v>26</v>
      </c>
      <c r="H141" s="5" t="str">
        <f aca="false">IF(COUNTIF(C141:G141,"On time")+COUNTIF(C141:G141,"N/A")=5,"Yes","No")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26.85" hidden="false" customHeight="false" outlineLevel="0" collapsed="false">
      <c r="A4" s="4" t="s">
        <v>23</v>
      </c>
      <c r="B4" s="4" t="s">
        <v>32</v>
      </c>
      <c r="C4" s="4" t="s">
        <v>33</v>
      </c>
      <c r="D4" s="4" t="s">
        <v>6</v>
      </c>
    </row>
    <row r="5" customFormat="false" ht="15" hidden="false" customHeight="false" outlineLevel="0" collapsed="false">
      <c r="A5" s="5" t="s">
        <v>25</v>
      </c>
      <c r="B5" s="5" t="n">
        <f aca="false">COUNTIF('Bundle Data'!$B$5:$B$141,A5)</f>
        <v>30</v>
      </c>
      <c r="C5" s="5" t="n">
        <f aca="false">COUNTIFS('Bundle Data'!$B$5:$B$141,A5,'Bundle Data'!$H$5:$H$141,"Yes")</f>
        <v>17</v>
      </c>
      <c r="D5" s="6" t="n">
        <f aca="false">IFERROR(C5/B5,0)</f>
        <v>0.566666666666667</v>
      </c>
    </row>
    <row r="6" customFormat="false" ht="15" hidden="false" customHeight="false" outlineLevel="0" collapsed="false">
      <c r="A6" s="5" t="s">
        <v>29</v>
      </c>
      <c r="B6" s="5" t="n">
        <f aca="false">COUNTIF('Bundle Data'!$B$5:$B$141,A6)</f>
        <v>31</v>
      </c>
      <c r="C6" s="5" t="n">
        <f aca="false">COUNTIFS('Bundle Data'!$B$5:$B$141,A6,'Bundle Data'!$H$5:$H$141,"Yes")</f>
        <v>17</v>
      </c>
      <c r="D6" s="6" t="n">
        <f aca="false">IFERROR(C6/B6,0)</f>
        <v>0.548387096774194</v>
      </c>
    </row>
    <row r="7" customFormat="false" ht="15" hidden="false" customHeight="false" outlineLevel="0" collapsed="false">
      <c r="A7" s="5" t="s">
        <v>28</v>
      </c>
      <c r="B7" s="5" t="n">
        <f aca="false">COUNTIF('Bundle Data'!$B$5:$B$141,A7)</f>
        <v>47</v>
      </c>
      <c r="C7" s="5" t="n">
        <f aca="false">COUNTIFS('Bundle Data'!$B$5:$B$141,A7,'Bundle Data'!$H$5:$H$141,"Yes")</f>
        <v>29</v>
      </c>
      <c r="D7" s="6" t="n">
        <f aca="false">IFERROR(C7/B7,0)</f>
        <v>0.617021276595745</v>
      </c>
    </row>
    <row r="8" customFormat="false" ht="15" hidden="false" customHeight="false" outlineLevel="0" collapsed="false">
      <c r="A8" s="5" t="s">
        <v>27</v>
      </c>
      <c r="B8" s="5" t="n">
        <f aca="false">COUNTIF('Bundle Data'!$B$5:$B$141,A8)</f>
        <v>29</v>
      </c>
      <c r="C8" s="5" t="n">
        <f aca="false">COUNTIFS('Bundle Data'!$B$5:$B$141,A8,'Bundle Data'!$H$5:$H$141,"Yes")</f>
        <v>16</v>
      </c>
      <c r="D8" s="6" t="n">
        <f aca="false">IFERROR(C8/B8,0)</f>
        <v>0.551724137931035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6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4" t="s">
        <v>36</v>
      </c>
      <c r="B4" s="4" t="s">
        <v>37</v>
      </c>
      <c r="C4" s="4" t="s">
        <v>38</v>
      </c>
    </row>
    <row r="5" customFormat="false" ht="15" hidden="false" customHeight="false" outlineLevel="0" collapsed="false">
      <c r="A5" s="5" t="s">
        <v>39</v>
      </c>
      <c r="B5" s="5" t="s">
        <v>40</v>
      </c>
      <c r="C5" s="5" t="n">
        <f aca="false">COUNTIF($C$15:$C$72,B5)</f>
        <v>27</v>
      </c>
    </row>
    <row r="6" customFormat="false" ht="15" hidden="false" customHeight="false" outlineLevel="0" collapsed="false">
      <c r="A6" s="5" t="s">
        <v>39</v>
      </c>
      <c r="B6" s="5" t="s">
        <v>41</v>
      </c>
      <c r="C6" s="5" t="n">
        <f aca="false">COUNTIF($C$15:$C$72,B6)</f>
        <v>11</v>
      </c>
    </row>
    <row r="7" customFormat="false" ht="15" hidden="false" customHeight="false" outlineLevel="0" collapsed="false">
      <c r="A7" s="5" t="s">
        <v>39</v>
      </c>
      <c r="B7" s="5" t="s">
        <v>42</v>
      </c>
      <c r="C7" s="5" t="n">
        <f aca="false">COUNTIF($C$15:$C$72,B7)</f>
        <v>8</v>
      </c>
    </row>
    <row r="8" customFormat="false" ht="15" hidden="false" customHeight="false" outlineLevel="0" collapsed="false">
      <c r="A8" s="5" t="s">
        <v>43</v>
      </c>
      <c r="B8" s="5" t="s">
        <v>44</v>
      </c>
      <c r="C8" s="5" t="n">
        <f aca="false">COUNTIF($C$15:$C$72,B8)</f>
        <v>3</v>
      </c>
    </row>
    <row r="9" customFormat="false" ht="15" hidden="false" customHeight="false" outlineLevel="0" collapsed="false">
      <c r="A9" s="5" t="s">
        <v>43</v>
      </c>
      <c r="B9" s="5" t="s">
        <v>45</v>
      </c>
      <c r="C9" s="5" t="n">
        <f aca="false">COUNTIF($C$15:$C$72,B9)</f>
        <v>9</v>
      </c>
    </row>
    <row r="10" customFormat="false" ht="15" hidden="false" customHeight="false" outlineLevel="0" collapsed="false">
      <c r="B10" s="7" t="s">
        <v>46</v>
      </c>
      <c r="C10" s="7" t="n">
        <f aca="false">SUM(C5:C9)</f>
        <v>58</v>
      </c>
    </row>
    <row r="13" customFormat="false" ht="15" hidden="false" customHeight="false" outlineLevel="0" collapsed="false">
      <c r="A13" s="3" t="s">
        <v>47</v>
      </c>
    </row>
    <row r="14" customFormat="false" ht="15" hidden="false" customHeight="false" outlineLevel="0" collapsed="false">
      <c r="A14" s="4" t="s">
        <v>22</v>
      </c>
      <c r="B14" s="4" t="s">
        <v>36</v>
      </c>
      <c r="C14" s="4" t="s">
        <v>37</v>
      </c>
      <c r="D14" s="4" t="s">
        <v>48</v>
      </c>
    </row>
    <row r="15" customFormat="false" ht="15" hidden="false" customHeight="false" outlineLevel="0" collapsed="false">
      <c r="A15" s="5" t="n">
        <v>1001</v>
      </c>
      <c r="B15" s="5" t="s">
        <v>43</v>
      </c>
      <c r="C15" s="5" t="s">
        <v>44</v>
      </c>
      <c r="D15" s="5" t="s">
        <v>49</v>
      </c>
    </row>
    <row r="16" customFormat="false" ht="15" hidden="false" customHeight="false" outlineLevel="0" collapsed="false">
      <c r="A16" s="5" t="n">
        <v>1008</v>
      </c>
      <c r="B16" s="5" t="s">
        <v>39</v>
      </c>
      <c r="C16" s="5" t="s">
        <v>40</v>
      </c>
      <c r="D16" s="5" t="s">
        <v>50</v>
      </c>
    </row>
    <row r="17" customFormat="false" ht="15" hidden="false" customHeight="false" outlineLevel="0" collapsed="false">
      <c r="A17" s="5" t="n">
        <v>1009</v>
      </c>
      <c r="B17" s="5" t="s">
        <v>39</v>
      </c>
      <c r="C17" s="5" t="s">
        <v>41</v>
      </c>
      <c r="D17" s="5" t="s">
        <v>51</v>
      </c>
    </row>
    <row r="18" customFormat="false" ht="15" hidden="false" customHeight="false" outlineLevel="0" collapsed="false">
      <c r="A18" s="5" t="n">
        <v>1013</v>
      </c>
      <c r="B18" s="5" t="s">
        <v>39</v>
      </c>
      <c r="C18" s="5" t="s">
        <v>41</v>
      </c>
      <c r="D18" s="5" t="s">
        <v>51</v>
      </c>
    </row>
    <row r="19" customFormat="false" ht="15" hidden="false" customHeight="false" outlineLevel="0" collapsed="false">
      <c r="A19" s="5" t="n">
        <v>1014</v>
      </c>
      <c r="B19" s="5" t="s">
        <v>43</v>
      </c>
      <c r="C19" s="5" t="s">
        <v>45</v>
      </c>
      <c r="D19" s="5" t="s">
        <v>52</v>
      </c>
    </row>
    <row r="20" customFormat="false" ht="15" hidden="false" customHeight="false" outlineLevel="0" collapsed="false">
      <c r="A20" s="5" t="n">
        <v>1028</v>
      </c>
      <c r="B20" s="5" t="s">
        <v>39</v>
      </c>
      <c r="C20" s="5" t="s">
        <v>40</v>
      </c>
      <c r="D20" s="5" t="s">
        <v>50</v>
      </c>
    </row>
    <row r="21" customFormat="false" ht="15" hidden="false" customHeight="false" outlineLevel="0" collapsed="false">
      <c r="A21" s="5" t="n">
        <v>1037</v>
      </c>
      <c r="B21" s="5" t="s">
        <v>43</v>
      </c>
      <c r="C21" s="5" t="s">
        <v>45</v>
      </c>
      <c r="D21" s="5" t="s">
        <v>52</v>
      </c>
    </row>
    <row r="22" customFormat="false" ht="15" hidden="false" customHeight="false" outlineLevel="0" collapsed="false">
      <c r="A22" s="5" t="n">
        <v>1042</v>
      </c>
      <c r="B22" s="5" t="s">
        <v>39</v>
      </c>
      <c r="C22" s="5" t="s">
        <v>40</v>
      </c>
      <c r="D22" s="5" t="s">
        <v>50</v>
      </c>
    </row>
    <row r="23" customFormat="false" ht="15" hidden="false" customHeight="false" outlineLevel="0" collapsed="false">
      <c r="A23" s="5" t="n">
        <v>1044</v>
      </c>
      <c r="B23" s="5" t="s">
        <v>43</v>
      </c>
      <c r="C23" s="5" t="s">
        <v>45</v>
      </c>
      <c r="D23" s="5" t="s">
        <v>52</v>
      </c>
    </row>
    <row r="24" customFormat="false" ht="15" hidden="false" customHeight="false" outlineLevel="0" collapsed="false">
      <c r="A24" s="5" t="n">
        <v>1048</v>
      </c>
      <c r="B24" s="5" t="s">
        <v>39</v>
      </c>
      <c r="C24" s="5" t="s">
        <v>40</v>
      </c>
      <c r="D24" s="5" t="s">
        <v>53</v>
      </c>
    </row>
    <row r="25" customFormat="false" ht="15" hidden="false" customHeight="false" outlineLevel="0" collapsed="false">
      <c r="A25" s="5" t="n">
        <v>1056</v>
      </c>
      <c r="B25" s="5" t="s">
        <v>39</v>
      </c>
      <c r="C25" s="5" t="s">
        <v>40</v>
      </c>
      <c r="D25" s="5" t="s">
        <v>50</v>
      </c>
    </row>
    <row r="26" customFormat="false" ht="15" hidden="false" customHeight="false" outlineLevel="0" collapsed="false">
      <c r="A26" s="5" t="n">
        <v>1068</v>
      </c>
      <c r="B26" s="5" t="s">
        <v>39</v>
      </c>
      <c r="C26" s="5" t="s">
        <v>42</v>
      </c>
      <c r="D26" s="5" t="s">
        <v>54</v>
      </c>
    </row>
    <row r="27" customFormat="false" ht="15" hidden="false" customHeight="false" outlineLevel="0" collapsed="false">
      <c r="A27" s="5" t="n">
        <v>1075</v>
      </c>
      <c r="B27" s="5" t="s">
        <v>43</v>
      </c>
      <c r="C27" s="5" t="s">
        <v>45</v>
      </c>
      <c r="D27" s="5" t="s">
        <v>50</v>
      </c>
    </row>
    <row r="28" customFormat="false" ht="15" hidden="false" customHeight="false" outlineLevel="0" collapsed="false">
      <c r="A28" s="5" t="n">
        <v>1085</v>
      </c>
      <c r="B28" s="5" t="s">
        <v>39</v>
      </c>
      <c r="C28" s="5" t="s">
        <v>40</v>
      </c>
      <c r="D28" s="5" t="s">
        <v>50</v>
      </c>
    </row>
    <row r="29" customFormat="false" ht="15" hidden="false" customHeight="false" outlineLevel="0" collapsed="false">
      <c r="A29" s="5" t="n">
        <v>1090</v>
      </c>
      <c r="B29" s="5" t="s">
        <v>43</v>
      </c>
      <c r="C29" s="5" t="s">
        <v>45</v>
      </c>
      <c r="D29" s="5" t="s">
        <v>55</v>
      </c>
    </row>
    <row r="30" customFormat="false" ht="15" hidden="false" customHeight="false" outlineLevel="0" collapsed="false">
      <c r="A30" s="5" t="n">
        <v>1099</v>
      </c>
      <c r="B30" s="5" t="s">
        <v>39</v>
      </c>
      <c r="C30" s="5" t="s">
        <v>40</v>
      </c>
      <c r="D30" s="5" t="s">
        <v>55</v>
      </c>
    </row>
    <row r="31" customFormat="false" ht="15" hidden="false" customHeight="false" outlineLevel="0" collapsed="false">
      <c r="A31" s="5" t="n">
        <v>1103</v>
      </c>
      <c r="B31" s="5" t="s">
        <v>39</v>
      </c>
      <c r="C31" s="5" t="s">
        <v>40</v>
      </c>
      <c r="D31" s="5" t="s">
        <v>53</v>
      </c>
    </row>
    <row r="32" customFormat="false" ht="15" hidden="false" customHeight="false" outlineLevel="0" collapsed="false">
      <c r="A32" s="5" t="n">
        <v>1108</v>
      </c>
      <c r="B32" s="5" t="s">
        <v>39</v>
      </c>
      <c r="C32" s="5" t="s">
        <v>41</v>
      </c>
      <c r="D32" s="5" t="s">
        <v>54</v>
      </c>
    </row>
    <row r="33" customFormat="false" ht="15" hidden="false" customHeight="false" outlineLevel="0" collapsed="false">
      <c r="A33" s="5" t="n">
        <v>1110</v>
      </c>
      <c r="B33" s="5" t="s">
        <v>39</v>
      </c>
      <c r="C33" s="5" t="s">
        <v>42</v>
      </c>
      <c r="D33" s="5" t="s">
        <v>54</v>
      </c>
    </row>
    <row r="34" customFormat="false" ht="15" hidden="false" customHeight="false" outlineLevel="0" collapsed="false">
      <c r="A34" s="5" t="n">
        <v>1119</v>
      </c>
      <c r="B34" s="5" t="s">
        <v>39</v>
      </c>
      <c r="C34" s="5" t="s">
        <v>40</v>
      </c>
      <c r="D34" s="5" t="s">
        <v>55</v>
      </c>
    </row>
    <row r="35" customFormat="false" ht="15" hidden="false" customHeight="false" outlineLevel="0" collapsed="false">
      <c r="A35" s="5" t="n">
        <v>1120</v>
      </c>
      <c r="B35" s="5" t="s">
        <v>39</v>
      </c>
      <c r="C35" s="5" t="s">
        <v>40</v>
      </c>
      <c r="D35" s="5" t="s">
        <v>53</v>
      </c>
    </row>
    <row r="36" customFormat="false" ht="15" hidden="false" customHeight="false" outlineLevel="0" collapsed="false">
      <c r="A36" s="5" t="n">
        <v>1121</v>
      </c>
      <c r="B36" s="5" t="s">
        <v>39</v>
      </c>
      <c r="C36" s="5" t="s">
        <v>40</v>
      </c>
      <c r="D36" s="5" t="s">
        <v>53</v>
      </c>
    </row>
    <row r="37" customFormat="false" ht="15" hidden="false" customHeight="false" outlineLevel="0" collapsed="false">
      <c r="A37" s="5" t="n">
        <v>1124</v>
      </c>
      <c r="B37" s="5" t="s">
        <v>39</v>
      </c>
      <c r="C37" s="5" t="s">
        <v>40</v>
      </c>
      <c r="D37" s="5" t="s">
        <v>50</v>
      </c>
    </row>
    <row r="38" customFormat="false" ht="15" hidden="false" customHeight="false" outlineLevel="0" collapsed="false">
      <c r="A38" s="5" t="n">
        <v>1127</v>
      </c>
      <c r="B38" s="5" t="s">
        <v>39</v>
      </c>
      <c r="C38" s="5" t="s">
        <v>40</v>
      </c>
      <c r="D38" s="5" t="s">
        <v>53</v>
      </c>
    </row>
    <row r="39" customFormat="false" ht="15" hidden="false" customHeight="false" outlineLevel="0" collapsed="false">
      <c r="A39" s="5" t="n">
        <v>1132</v>
      </c>
      <c r="B39" s="5" t="s">
        <v>39</v>
      </c>
      <c r="C39" s="5" t="s">
        <v>40</v>
      </c>
      <c r="D39" s="5" t="s">
        <v>50</v>
      </c>
    </row>
    <row r="40" customFormat="false" ht="15" hidden="false" customHeight="false" outlineLevel="0" collapsed="false">
      <c r="A40" s="5" t="n">
        <v>1138</v>
      </c>
      <c r="B40" s="5" t="s">
        <v>39</v>
      </c>
      <c r="C40" s="5" t="s">
        <v>40</v>
      </c>
      <c r="D40" s="5" t="s">
        <v>50</v>
      </c>
    </row>
    <row r="41" customFormat="false" ht="15" hidden="false" customHeight="false" outlineLevel="0" collapsed="false">
      <c r="A41" s="5" t="n">
        <v>1140</v>
      </c>
      <c r="B41" s="5" t="s">
        <v>39</v>
      </c>
      <c r="C41" s="5" t="s">
        <v>40</v>
      </c>
      <c r="D41" s="5" t="s">
        <v>53</v>
      </c>
    </row>
    <row r="42" customFormat="false" ht="15" hidden="false" customHeight="false" outlineLevel="0" collapsed="false">
      <c r="A42" s="5" t="n">
        <v>1155</v>
      </c>
      <c r="B42" s="5" t="s">
        <v>39</v>
      </c>
      <c r="C42" s="5" t="s">
        <v>40</v>
      </c>
      <c r="D42" s="5" t="s">
        <v>50</v>
      </c>
    </row>
    <row r="43" customFormat="false" ht="15" hidden="false" customHeight="false" outlineLevel="0" collapsed="false">
      <c r="A43" s="5" t="n">
        <v>1160</v>
      </c>
      <c r="B43" s="5" t="s">
        <v>39</v>
      </c>
      <c r="C43" s="5" t="s">
        <v>42</v>
      </c>
      <c r="D43" s="5" t="s">
        <v>54</v>
      </c>
    </row>
    <row r="44" customFormat="false" ht="15" hidden="false" customHeight="false" outlineLevel="0" collapsed="false">
      <c r="A44" s="5" t="n">
        <v>1166</v>
      </c>
      <c r="B44" s="5" t="s">
        <v>39</v>
      </c>
      <c r="C44" s="5" t="s">
        <v>41</v>
      </c>
      <c r="D44" s="5" t="s">
        <v>56</v>
      </c>
    </row>
    <row r="45" customFormat="false" ht="15" hidden="false" customHeight="false" outlineLevel="0" collapsed="false">
      <c r="A45" s="5" t="n">
        <v>1168</v>
      </c>
      <c r="B45" s="5" t="s">
        <v>39</v>
      </c>
      <c r="C45" s="5" t="s">
        <v>40</v>
      </c>
      <c r="D45" s="5" t="s">
        <v>50</v>
      </c>
    </row>
    <row r="46" customFormat="false" ht="15" hidden="false" customHeight="false" outlineLevel="0" collapsed="false">
      <c r="A46" s="5" t="n">
        <v>1173</v>
      </c>
      <c r="B46" s="5" t="s">
        <v>39</v>
      </c>
      <c r="C46" s="5" t="s">
        <v>41</v>
      </c>
      <c r="D46" s="5" t="s">
        <v>51</v>
      </c>
    </row>
    <row r="47" customFormat="false" ht="15" hidden="false" customHeight="false" outlineLevel="0" collapsed="false">
      <c r="A47" s="5" t="n">
        <v>1176</v>
      </c>
      <c r="B47" s="5" t="s">
        <v>39</v>
      </c>
      <c r="C47" s="5" t="s">
        <v>40</v>
      </c>
      <c r="D47" s="5" t="s">
        <v>50</v>
      </c>
    </row>
    <row r="48" customFormat="false" ht="15" hidden="false" customHeight="false" outlineLevel="0" collapsed="false">
      <c r="A48" s="5" t="n">
        <v>1179</v>
      </c>
      <c r="B48" s="5" t="s">
        <v>39</v>
      </c>
      <c r="C48" s="5" t="s">
        <v>40</v>
      </c>
      <c r="D48" s="5" t="s">
        <v>50</v>
      </c>
    </row>
    <row r="49" customFormat="false" ht="15" hidden="false" customHeight="false" outlineLevel="0" collapsed="false">
      <c r="A49" s="5" t="n">
        <v>1188</v>
      </c>
      <c r="B49" s="5" t="s">
        <v>39</v>
      </c>
      <c r="C49" s="5" t="s">
        <v>41</v>
      </c>
      <c r="D49" s="5" t="s">
        <v>51</v>
      </c>
    </row>
    <row r="50" customFormat="false" ht="15" hidden="false" customHeight="false" outlineLevel="0" collapsed="false">
      <c r="A50" s="5" t="n">
        <v>1192</v>
      </c>
      <c r="B50" s="5" t="s">
        <v>39</v>
      </c>
      <c r="C50" s="5" t="s">
        <v>40</v>
      </c>
      <c r="D50" s="5" t="s">
        <v>50</v>
      </c>
    </row>
    <row r="51" customFormat="false" ht="15" hidden="false" customHeight="false" outlineLevel="0" collapsed="false">
      <c r="A51" s="5" t="n">
        <v>1198</v>
      </c>
      <c r="B51" s="5" t="s">
        <v>43</v>
      </c>
      <c r="C51" s="5" t="s">
        <v>45</v>
      </c>
      <c r="D51" s="5" t="s">
        <v>53</v>
      </c>
    </row>
    <row r="52" customFormat="false" ht="15" hidden="false" customHeight="false" outlineLevel="0" collapsed="false">
      <c r="A52" s="5" t="n">
        <v>1200</v>
      </c>
      <c r="B52" s="5" t="s">
        <v>43</v>
      </c>
      <c r="C52" s="5" t="s">
        <v>44</v>
      </c>
      <c r="D52" s="5" t="s">
        <v>49</v>
      </c>
    </row>
    <row r="53" customFormat="false" ht="15" hidden="false" customHeight="false" outlineLevel="0" collapsed="false">
      <c r="A53" s="5" t="n">
        <v>1202</v>
      </c>
      <c r="B53" s="5" t="s">
        <v>39</v>
      </c>
      <c r="C53" s="5" t="s">
        <v>40</v>
      </c>
      <c r="D53" s="5" t="s">
        <v>55</v>
      </c>
    </row>
    <row r="54" customFormat="false" ht="15" hidden="false" customHeight="false" outlineLevel="0" collapsed="false">
      <c r="A54" s="5" t="n">
        <v>1208</v>
      </c>
      <c r="B54" s="5" t="s">
        <v>39</v>
      </c>
      <c r="C54" s="5" t="s">
        <v>42</v>
      </c>
      <c r="D54" s="5" t="s">
        <v>51</v>
      </c>
    </row>
    <row r="55" customFormat="false" ht="15" hidden="false" customHeight="false" outlineLevel="0" collapsed="false">
      <c r="A55" s="5" t="n">
        <v>1210</v>
      </c>
      <c r="B55" s="5" t="s">
        <v>43</v>
      </c>
      <c r="C55" s="5" t="s">
        <v>44</v>
      </c>
      <c r="D55" s="5" t="s">
        <v>57</v>
      </c>
    </row>
    <row r="56" customFormat="false" ht="15" hidden="false" customHeight="false" outlineLevel="0" collapsed="false">
      <c r="A56" s="5" t="n">
        <v>1214</v>
      </c>
      <c r="B56" s="5" t="s">
        <v>39</v>
      </c>
      <c r="C56" s="5" t="s">
        <v>42</v>
      </c>
      <c r="D56" s="5" t="s">
        <v>51</v>
      </c>
    </row>
    <row r="57" customFormat="false" ht="15" hidden="false" customHeight="false" outlineLevel="0" collapsed="false">
      <c r="A57" s="5" t="n">
        <v>1218</v>
      </c>
      <c r="B57" s="5" t="s">
        <v>39</v>
      </c>
      <c r="C57" s="5" t="s">
        <v>41</v>
      </c>
      <c r="D57" s="5" t="s">
        <v>51</v>
      </c>
    </row>
    <row r="58" customFormat="false" ht="15" hidden="false" customHeight="false" outlineLevel="0" collapsed="false">
      <c r="A58" s="5" t="n">
        <v>1221</v>
      </c>
      <c r="B58" s="5" t="s">
        <v>39</v>
      </c>
      <c r="C58" s="5" t="s">
        <v>40</v>
      </c>
      <c r="D58" s="5" t="s">
        <v>55</v>
      </c>
    </row>
    <row r="59" customFormat="false" ht="15" hidden="false" customHeight="false" outlineLevel="0" collapsed="false">
      <c r="A59" s="5" t="n">
        <v>1222</v>
      </c>
      <c r="B59" s="5" t="s">
        <v>39</v>
      </c>
      <c r="C59" s="5" t="s">
        <v>41</v>
      </c>
      <c r="D59" s="5" t="s">
        <v>56</v>
      </c>
    </row>
    <row r="60" customFormat="false" ht="15" hidden="false" customHeight="false" outlineLevel="0" collapsed="false">
      <c r="A60" s="5" t="n">
        <v>1227</v>
      </c>
      <c r="B60" s="5" t="s">
        <v>39</v>
      </c>
      <c r="C60" s="5" t="s">
        <v>41</v>
      </c>
      <c r="D60" s="5" t="s">
        <v>56</v>
      </c>
    </row>
    <row r="61" customFormat="false" ht="15" hidden="false" customHeight="false" outlineLevel="0" collapsed="false">
      <c r="A61" s="5" t="n">
        <v>1233</v>
      </c>
      <c r="B61" s="5" t="s">
        <v>39</v>
      </c>
      <c r="C61" s="5" t="s">
        <v>42</v>
      </c>
      <c r="D61" s="5" t="s">
        <v>54</v>
      </c>
    </row>
    <row r="62" customFormat="false" ht="15" hidden="false" customHeight="false" outlineLevel="0" collapsed="false">
      <c r="A62" s="5" t="n">
        <v>1237</v>
      </c>
      <c r="B62" s="5" t="s">
        <v>39</v>
      </c>
      <c r="C62" s="5" t="s">
        <v>42</v>
      </c>
      <c r="D62" s="5" t="s">
        <v>56</v>
      </c>
    </row>
    <row r="63" customFormat="false" ht="15" hidden="false" customHeight="false" outlineLevel="0" collapsed="false">
      <c r="A63" s="5" t="n">
        <v>1239</v>
      </c>
      <c r="B63" s="5" t="s">
        <v>43</v>
      </c>
      <c r="C63" s="5" t="s">
        <v>45</v>
      </c>
      <c r="D63" s="5" t="s">
        <v>52</v>
      </c>
    </row>
    <row r="64" customFormat="false" ht="15" hidden="false" customHeight="false" outlineLevel="0" collapsed="false">
      <c r="A64" s="5" t="n">
        <v>1259</v>
      </c>
      <c r="B64" s="5" t="s">
        <v>39</v>
      </c>
      <c r="C64" s="5" t="s">
        <v>40</v>
      </c>
      <c r="D64" s="5" t="s">
        <v>55</v>
      </c>
    </row>
    <row r="65" customFormat="false" ht="15" hidden="false" customHeight="false" outlineLevel="0" collapsed="false">
      <c r="A65" s="5" t="n">
        <v>1262</v>
      </c>
      <c r="B65" s="5" t="s">
        <v>43</v>
      </c>
      <c r="C65" s="5" t="s">
        <v>45</v>
      </c>
      <c r="D65" s="5" t="s">
        <v>52</v>
      </c>
    </row>
    <row r="66" customFormat="false" ht="15" hidden="false" customHeight="false" outlineLevel="0" collapsed="false">
      <c r="A66" s="5" t="n">
        <v>1267</v>
      </c>
      <c r="B66" s="5" t="s">
        <v>39</v>
      </c>
      <c r="C66" s="5" t="s">
        <v>41</v>
      </c>
      <c r="D66" s="5" t="s">
        <v>56</v>
      </c>
    </row>
    <row r="67" customFormat="false" ht="15" hidden="false" customHeight="false" outlineLevel="0" collapsed="false">
      <c r="A67" s="5" t="n">
        <v>1269</v>
      </c>
      <c r="B67" s="5" t="s">
        <v>43</v>
      </c>
      <c r="C67" s="5" t="s">
        <v>45</v>
      </c>
      <c r="D67" s="5" t="s">
        <v>55</v>
      </c>
    </row>
    <row r="68" customFormat="false" ht="15" hidden="false" customHeight="false" outlineLevel="0" collapsed="false">
      <c r="A68" s="5" t="n">
        <v>1272</v>
      </c>
      <c r="B68" s="5" t="s">
        <v>39</v>
      </c>
      <c r="C68" s="5" t="s">
        <v>40</v>
      </c>
      <c r="D68" s="5" t="s">
        <v>53</v>
      </c>
    </row>
    <row r="69" customFormat="false" ht="15" hidden="false" customHeight="false" outlineLevel="0" collapsed="false">
      <c r="A69" s="5" t="n">
        <v>1273</v>
      </c>
      <c r="B69" s="5" t="s">
        <v>39</v>
      </c>
      <c r="C69" s="5" t="s">
        <v>41</v>
      </c>
      <c r="D69" s="5" t="s">
        <v>54</v>
      </c>
    </row>
    <row r="70" customFormat="false" ht="15" hidden="false" customHeight="false" outlineLevel="0" collapsed="false">
      <c r="A70" s="5" t="n">
        <v>1281</v>
      </c>
      <c r="B70" s="5" t="s">
        <v>39</v>
      </c>
      <c r="C70" s="5" t="s">
        <v>40</v>
      </c>
      <c r="D70" s="5" t="s">
        <v>53</v>
      </c>
    </row>
    <row r="71" customFormat="false" ht="15" hidden="false" customHeight="false" outlineLevel="0" collapsed="false">
      <c r="A71" s="5" t="n">
        <v>1289</v>
      </c>
      <c r="B71" s="5" t="s">
        <v>39</v>
      </c>
      <c r="C71" s="5" t="s">
        <v>42</v>
      </c>
      <c r="D71" s="5" t="s">
        <v>56</v>
      </c>
    </row>
    <row r="72" customFormat="false" ht="15" hidden="false" customHeight="false" outlineLevel="0" collapsed="false">
      <c r="A72" s="5" t="n">
        <v>1292</v>
      </c>
      <c r="B72" s="5" t="s">
        <v>39</v>
      </c>
      <c r="C72" s="5" t="s">
        <v>40</v>
      </c>
      <c r="D72" s="5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2026-10-07T05:11:36Z</dcterms:created>
  <dc:creator>openpyxl</dc:creator>
  <dc:description/>
  <dc:language>en-US</dc:language>
  <cp:lastModifiedBy/>
  <dcterms:modified xsi:type="dcterms:W3CDTF">2026-10-07T05:11:38Z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